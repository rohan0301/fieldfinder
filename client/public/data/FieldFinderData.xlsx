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78871BE3-BDE5-48AF-B836-A7D78D4FE39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Final Table" sheetId="2" r:id="rId1"/>
    <sheet name="Neighborhood Review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3A50D-C096-4775-A7CD-EDC871B4AE1C}" keepAlive="1" name="Query - Neighborhood Reviews" description="Connection to the 'Neighborhood Reviews' query in the workbook." type="5" refreshedVersion="0" background="1">
    <dbPr connection="Provider=Microsoft.Mashup.OleDb.1;Data Source=$Workbook$;Location=Neighborhood Reviews;Extended Properties=&quot;&quot;" command="SELECT * FROM [Neighborhood Reviews]"/>
  </connection>
</connections>
</file>

<file path=xl/sharedStrings.xml><?xml version="1.0" encoding="utf-8"?>
<sst xmlns="http://schemas.openxmlformats.org/spreadsheetml/2006/main" count="302" uniqueCount="211">
  <si>
    <t>Zip Code</t>
  </si>
  <si>
    <t>County</t>
  </si>
  <si>
    <t># of Baseball fields in the area</t>
  </si>
  <si>
    <t>Average of % LI (Y) Based on Free Lunches</t>
  </si>
  <si>
    <t>Average of Need % based on SVI</t>
  </si>
  <si>
    <t>Count of # of B&amp;GC in ZIP</t>
  </si>
  <si>
    <t>Strong Infrastructure?</t>
  </si>
  <si>
    <t>Strong Org?</t>
  </si>
  <si>
    <t>RBI Readiness</t>
  </si>
  <si>
    <t>Note of Local Infrastructure</t>
  </si>
  <si>
    <t>94621</t>
  </si>
  <si>
    <t>Alameda County</t>
  </si>
  <si>
    <t>94603</t>
  </si>
  <si>
    <t>94601</t>
  </si>
  <si>
    <t>94124</t>
  </si>
  <si>
    <t>San Francisco County</t>
  </si>
  <si>
    <t>94578</t>
  </si>
  <si>
    <t>94605</t>
  </si>
  <si>
    <t>94706</t>
  </si>
  <si>
    <t>94544</t>
  </si>
  <si>
    <t>94541</t>
  </si>
  <si>
    <t>94568</t>
  </si>
  <si>
    <t>94606</t>
  </si>
  <si>
    <t>94619</t>
  </si>
  <si>
    <t>94501</t>
  </si>
  <si>
    <t>94702</t>
  </si>
  <si>
    <t>94551</t>
  </si>
  <si>
    <t>94546</t>
  </si>
  <si>
    <t>94588</t>
  </si>
  <si>
    <t>94566</t>
  </si>
  <si>
    <t>94577</t>
  </si>
  <si>
    <t>94134</t>
  </si>
  <si>
    <t>94580</t>
  </si>
  <si>
    <t>94545</t>
  </si>
  <si>
    <t>94112</t>
  </si>
  <si>
    <t>94602</t>
  </si>
  <si>
    <t>94502</t>
  </si>
  <si>
    <t>94587</t>
  </si>
  <si>
    <t>94550</t>
  </si>
  <si>
    <t>94121</t>
  </si>
  <si>
    <t>94710</t>
  </si>
  <si>
    <t>94552</t>
  </si>
  <si>
    <t>94108</t>
  </si>
  <si>
    <t>94609</t>
  </si>
  <si>
    <t>94133</t>
  </si>
  <si>
    <t>94110</t>
  </si>
  <si>
    <t>94703</t>
  </si>
  <si>
    <t>94579</t>
  </si>
  <si>
    <t>94542</t>
  </si>
  <si>
    <t>94102</t>
  </si>
  <si>
    <t>94116</t>
  </si>
  <si>
    <t>94132</t>
  </si>
  <si>
    <t>94611</t>
  </si>
  <si>
    <t>94618</t>
  </si>
  <si>
    <t>94610</t>
  </si>
  <si>
    <t>94127</t>
  </si>
  <si>
    <t>94122</t>
  </si>
  <si>
    <t>94608</t>
  </si>
  <si>
    <t>94707</t>
  </si>
  <si>
    <t>94118</t>
  </si>
  <si>
    <t>94103</t>
  </si>
  <si>
    <t>94705</t>
  </si>
  <si>
    <t>94131</t>
  </si>
  <si>
    <t>94612</t>
  </si>
  <si>
    <t>94111</t>
  </si>
  <si>
    <t>94708</t>
  </si>
  <si>
    <t>94115</t>
  </si>
  <si>
    <t>94107</t>
  </si>
  <si>
    <t>94123</t>
  </si>
  <si>
    <t>94704</t>
  </si>
  <si>
    <t>94709</t>
  </si>
  <si>
    <t>94117</t>
  </si>
  <si>
    <t>94114</t>
  </si>
  <si>
    <t>94109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</si>
  <si>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</si>
  <si>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</si>
  <si>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</si>
  <si>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</si>
  <si>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</si>
  <si>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</si>
  <si>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</si>
  <si>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</si>
  <si>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</si>
  <si>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</si>
  <si>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</si>
  <si>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</si>
  <si>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ZIP</t>
  </si>
  <si>
    <t>Neighborhood</t>
  </si>
  <si>
    <t>City</t>
  </si>
  <si>
    <t>Fields Checked</t>
  </si>
  <si>
    <t>Baseball Present</t>
  </si>
  <si>
    <t>Condition</t>
  </si>
  <si>
    <t>Youth Activity</t>
  </si>
  <si>
    <t>Org Signal</t>
  </si>
  <si>
    <t>Gap Verdict</t>
  </si>
  <si>
    <t>Map View</t>
  </si>
  <si>
    <t>Sample Quotes</t>
  </si>
  <si>
    <t>Notes</t>
  </si>
  <si>
    <t>Sobrante Park / Elmhurst / Coliseum</t>
  </si>
  <si>
    <t>Oakland</t>
  </si>
  <si>
    <t>Sobrante Park diamond; Ira Jinkins Community Center</t>
  </si>
  <si>
    <t>Yes</t>
  </si>
  <si>
    <t>Needs investment</t>
  </si>
  <si>
    <t>Present</t>
  </si>
  <si>
    <t>None</t>
  </si>
  <si>
    <t>Strong gap</t>
  </si>
  <si>
    <t>RBI Officials</t>
  </si>
  <si>
    <t>"The soccer and baseball fields appear to be in need of some maintenance." | "Park &amp; Recreation grew up here and my kids as well. They truly look out for the kids and families in the community."</t>
  </si>
  <si>
    <t>Primary demo case. Diamond confirmed. Bathrooms permanently closed. Ira Jinkins rec center 0.8mi away as org anchor. No RBI affiliate within 4 miles.</t>
  </si>
  <si>
    <t>Hegenberger / Coliseum area</t>
  </si>
  <si>
    <t>McConnell Field; Rickey Henderson Field</t>
  </si>
  <si>
    <t>Usable but unsafe environment</t>
  </si>
  <si>
    <t>Limited - adults loitering</t>
  </si>
  <si>
    <t>None for youth</t>
  </si>
  <si>
    <t>Gap with safety caveats</t>
  </si>
  <si>
    <t>"The fields are nice to play baseball/softball but the people who hang around the park make it not a welcoming environment." | "Don't bring your kids to this park unless you are there with a big group."</t>
  </si>
  <si>
    <t>Field infrastructure confirmed. Safety environment is a real barrier. Flag as infrastructure AND environment investment needed, not just equipment drop.</t>
  </si>
  <si>
    <t>Eastmont / Millsmont / Maxwell Park</t>
  </si>
  <si>
    <t>Arroyo Viejo Recreation Center</t>
  </si>
  <si>
    <t>Partial - general sports fields confirmed</t>
  </si>
  <si>
    <t>Inconsistent</t>
  </si>
  <si>
    <t>Present but contested by time of day</t>
  </si>
  <si>
    <t>None for baseball</t>
  </si>
  <si>
    <t>"Arroyo is in the midst of its renaissance, plenty of kids in their after school and summer program." | "Dirty, trash filled, broken glass... packed with adults, no kids at all."</t>
  </si>
  <si>
    <t>High-need neighborhood. Rec center on site is a potential org anchor. Youth programs already running. Baseball just needs to be added to existing infrastructure.</t>
  </si>
  <si>
    <t>Garfield / San Antonio / Clinton / Fremont</t>
  </si>
  <si>
    <t>Garfield Park Baseball Field; San Antonio Park; San Antonio Recreation Center</t>
  </si>
  <si>
    <t>Yes at Garfield - confirmed diamond. Absent at San Antonio.</t>
  </si>
  <si>
    <t>Unknown at Garfield - no reviews. Good at San Antonio.</t>
  </si>
  <si>
    <t>Strong at San Antonio - zero baseball signal</t>
  </si>
  <si>
    <t>Strong gap - strongest invisible field in dataset</t>
  </si>
  <si>
    <t>"Lots of people playing soccer, basketball and running boxing camps every day." (San Antonio - zero baseball) | Garfield Park Baseball Field: zero reviews, no hours, no org.</t>
  </si>
  <si>
    <t>Garfield Park is a confirmed baseball field with literally zero community footprint online. Nobody knows it is there. Exactly what FieldFinder is built to surface.</t>
  </si>
  <si>
    <t>Fruitvale / Jingletown / San Antonio</t>
  </si>
  <si>
    <t>Brookdale Park</t>
  </si>
  <si>
    <t>Weak - no mention in 221 reviews</t>
  </si>
  <si>
    <t>Clean and well maintained</t>
  </si>
  <si>
    <t>Strong - soccer and basketball dominant</t>
  </si>
  <si>
    <t>Needs investigation</t>
  </si>
  <si>
    <t>"Really good park offering so much for the youth, make sure you stop by and meet the director." | "A park full of adventures, clean, safe, kid friendly."</t>
  </si>
  <si>
    <t>High youth density and need but baseball interest signal is weak. Soccer dominates Fruitvale. Confirm whether a diamond physically exists before flagging as a gap.</t>
  </si>
  <si>
    <t>94607</t>
  </si>
  <si>
    <t>West Oakland / Acorn / McClymonds</t>
  </si>
  <si>
    <t>Raimondi Park; Oakland Ballers; DeFremery Park; DeFremery Recreation Center</t>
  </si>
  <si>
    <t>Yes - strong</t>
  </si>
  <si>
    <t>Excellent at Raimondi. DeFremery well managed.</t>
  </si>
  <si>
    <t>Strong - pop warner football, baseball, community events</t>
  </si>
  <si>
    <t>Oakland Ballers confirmed at Raimondi. DeFremery has baseball field but no league named.</t>
  </si>
  <si>
    <t>Already served at Raimondi. Possible gap at DeFremery.</t>
  </si>
  <si>
    <t>Families (Raimondi) + RBI Officials (DeFremery)</t>
  </si>
  <si>
    <t>"Raimondi park is now home to the Ballers and the park has never looked or felt better." | "Nice clean and quiet, baseball field, basketball courts, swimming pool, tennis courts." (DeFremery)</t>
  </si>
  <si>
    <t>Raimondi is covered - families view. DeFremery has confirmed baseball field and is well managed but no league attached in reviews. Worth flagging DeFremery as a secondary gap target.</t>
  </si>
  <si>
    <t>Downtown Hayward / Ashland / Cherryland</t>
  </si>
  <si>
    <t>Hayward / Unincorporated Alameda County</t>
  </si>
  <si>
    <t>Centennial Park; Bret Harte Park; Cannery Park</t>
  </si>
  <si>
    <t>Yes - strong. Two diamonds at Centennial, softball at Bret Harte, baseball field with bleachers at Cannery.</t>
  </si>
  <si>
    <t>Generally good across all three</t>
  </si>
  <si>
    <t>Present and family-friendly</t>
  </si>
  <si>
    <t>None named in any review</t>
  </si>
  <si>
    <t>"Great park for sports activities! This park has two baseball diamonds, basketball court, large grass area." | "Very clean park with a baseball field with bleachers, restrooms available." | "Softball at its best."</t>
  </si>
  <si>
    <t>Multiple confirmed baseball diamonds, active family use, zero org presence. High Latino and Black population. Infrastructure is ready to use immediately. Strong deployment candidate.</t>
  </si>
  <si>
    <t>South Hayward</t>
  </si>
  <si>
    <t>Hayward</t>
  </si>
  <si>
    <t>Sorensdale Park; Ruus Park; Palma Ceia Park</t>
  </si>
  <si>
    <t>Yes at Sorensdale (3 fields). Historical at Palma Ceia (diamond may no longer be active).</t>
  </si>
  <si>
    <t>Good at Sorensdale. Basic but clean at Ruus. Palma Ceia maintenance could improve.</t>
  </si>
  <si>
    <t>Active at Sorensdale - son plays baseball there specifically mentioned</t>
  </si>
  <si>
    <t>Possible at Sorensdale - snack bar and game days suggest org presence</t>
  </si>
  <si>
    <t>Needs investigation at Sorensdale. Gap at Palma Ceia.</t>
  </si>
  <si>
    <t>RBI Officials (pending investigation)</t>
  </si>
  <si>
    <t>"Three baseball and softball fields for youth games. If you like baseball this is the place to be." | "My son plays baseball here." | "I miss the baseball park that was there once back in the day." (Palma Ceia)</t>
  </si>
  <si>
    <t>Sorensdale may already have an org - confirm before flagging as gap. Palma Ceia lost its baseball field and could be a restoration target paired with an RBI program.</t>
  </si>
  <si>
    <t>Union City / Alvarado</t>
  </si>
  <si>
    <t>Union City</t>
  </si>
  <si>
    <t>Town Estates Park; Contempo Park; Veterans Park</t>
  </si>
  <si>
    <t>Yes - confirmed at all three. Town Estates has four baseball fields.</t>
  </si>
  <si>
    <t>Good across the board. Town Estates and Veterans recently maintained.</t>
  </si>
  <si>
    <t>Strong - families actively playing baseball at Town Estates</t>
  </si>
  <si>
    <t>Unclear - four fields at Town Estates suggests possible org but no name mentioned</t>
  </si>
  <si>
    <t>"Playing baseball in the baseball field, play soccer or kickball in the large grass area." | "Perfect park for families. Four baseball fields, playground for kids, picnic tables with grills." | "They saw a baseball game swing two balls out to neighboring cars." (Contempo - active play confirmed)</t>
  </si>
  <si>
    <t>Strong infrastructure and active use. Org status unclear at Town Estates - four fields suggests possible league. Moderate need with large Latino community. Confirm org before deployment decision.</t>
  </si>
  <si>
    <t>94577 / 94578 / 94579</t>
  </si>
  <si>
    <t>North / East / South San Leandro</t>
  </si>
  <si>
    <t>San Leandro</t>
  </si>
  <si>
    <t>San Leandro Ball Park; Stenzel Park; Bonaire Park</t>
  </si>
  <si>
    <t>Yes - strong at all three</t>
  </si>
  <si>
    <t>Good. San Leandro Ball Park has lights for night games.</t>
  </si>
  <si>
    <t>Active and organized - son plays baseball at Stenzel specifically mentioned</t>
  </si>
  <si>
    <t>San Leandro Little League (SLLL) confirmed active at San Leandro Ball Park and Stenzel</t>
  </si>
  <si>
    <t>Already served</t>
  </si>
  <si>
    <t>Families</t>
  </si>
  <si>
    <t>"SLLL has both spring and fall baseball at this park." | "When I was a kid I used to play little league here. My grandson still plays here." | "My son plays baseball here. A really nice park."</t>
  </si>
  <si>
    <t>San Leandro Little League is confirmed and active. These fields go in the families view as existing programs. Bonaire Park org status less certain - quick check recommended.</t>
  </si>
  <si>
    <t>94560</t>
  </si>
  <si>
    <t>Newark</t>
  </si>
  <si>
    <t>Newark Sportsfield Park; Newark Community Center Park</t>
  </si>
  <si>
    <t>Weak - soccer dominant across all reviews</t>
  </si>
  <si>
    <t>Good</t>
  </si>
  <si>
    <t>Strong but soccer focused</t>
  </si>
  <si>
    <t>Lower priority</t>
  </si>
  <si>
    <t>Neither</t>
  </si>
  <si>
    <t>"Well kept soccer fields." | "Im a soccer player and I have built my entire life here."</t>
  </si>
  <si>
    <t>Newark youth sports scene is clearly soccer-first. No baseball-specific youth activity mentioned across any review. Lower need community. Deprioritize for RBI targeting.</t>
  </si>
  <si>
    <t>94538</t>
  </si>
  <si>
    <t>Irvington / Central Fremont</t>
  </si>
  <si>
    <t>Fremont</t>
  </si>
  <si>
    <t>Central Park Sports Complex</t>
  </si>
  <si>
    <t>Softball confirmed - baseball unclear</t>
  </si>
  <si>
    <t>None named</t>
  </si>
  <si>
    <t>"Great vibe for watching softball at night." | "Huge space and plenty of greenery. Many fields for sports."</t>
  </si>
  <si>
    <t>Moderate need area. Softball present but baseball signal weak. Not a priority compared to Oakland and Hayward zips.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</si>
</sst>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1" fillId="0" borderId="0" xfId="0" applyFont="1"/>
    <xf numFmtId="10" fontId="1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ACF6C-28FB-42E4-924D-E5857B6FDE48}" name="Table1" displayName="Table1" ref="A1:J63" totalsRowShown="0" headerRowDxfId="6">
  <autoFilter ref="A1:J63" xr:uid="{FB0ACF6C-28FB-42E4-924D-E5857B6FDE48}"/>
  <sortState xmlns:xlrd2="http://schemas.microsoft.com/office/spreadsheetml/2017/richdata2" ref="A2:F63">
    <sortCondition descending="1" ref="E1:E63"/>
  </sortState>
  <tableColumns count="10">
    <tableColumn id="1" xr3:uid="{099D932C-EE1F-411A-94F2-F0F36B608EDD}" name="Zip Code"/>
    <tableColumn id="2" xr3:uid="{B57D5C15-A3A4-4ACB-A764-90E792B8A0A1}" name="County"/>
    <tableColumn id="3" xr3:uid="{5EC64848-0BC2-4E9B-8251-409EE6ED3F8B}" name="# of Baseball fields in the area"/>
    <tableColumn id="4" xr3:uid="{DF46565B-D7A6-4C30-81DA-C655F1725E3B}" name="Average of % LI (Y) Based on Free Lunches" dataDxfId="5"/>
    <tableColumn id="5" xr3:uid="{5B67B436-6912-4002-A6C8-A094D2AB825F}" name="Average of Need % based on SVI" dataDxfId="4"/>
    <tableColumn id="6" xr3:uid="{2F60C7CE-414D-4C4D-BEB4-47BA0BF814BF}" name="Count of # of B&amp;GC in ZIP"/>
    <tableColumn id="7" xr3:uid="{F800C584-B325-4946-8D99-A4C186C66008}" name="Strong Infrastructure?" dataDxfId="3"/>
    <tableColumn id="8" xr3:uid="{CCA64578-ADFF-42E3-B992-5334ACA5DF4E}" name="Strong Org?" dataDxfId="2"/>
    <tableColumn id="9" xr3:uid="{651762F9-96B2-4647-9626-BF7D31AB914B}" name="RBI Readiness" dataDxfId="1">
      <calculatedColumnFormula>(E2*0.5) + ((C2/MAX($C$2:$C$60))*0.25) + ((F2/MAX($F$2:$F$60))*0.25)</calculatedColumnFormula>
    </tableColumn>
    <tableColumn id="10" xr3:uid="{2477E403-EFD4-4EB6-A84E-88A2E6F22DF6}" name="Note of Local Infrastructure" dataDxfId="0">
      <calculatedColumnFormula>_xlfn.IFNA(_xlfn.XLOOKUP(Table1[[#This Row],[Zip Code]],'Neighborhood Reviews'!$A$3:$A$14,'Neighborhood Reviews'!$E$3:$E$14),"")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D03-346E-4168-A607-195D71F5DFF8}">
  <dimension ref="A1:J127"/>
  <sheetViews>
    <sheetView topLeftCell="B1" workbookViewId="0">
      <selection activeCell="K2" sqref="K2"/>
    </sheetView>
  </sheetViews>
  <sheetFormatPr defaultRowHeight="15"/>
  <cols>
    <col min="1" max="1" width="12.5703125" bestFit="1" customWidth="1"/>
    <col min="2" max="2" width="19.85546875" customWidth="1"/>
    <col min="3" max="4" width="30.7109375" style="1" customWidth="1"/>
    <col min="5" max="5" width="30.7109375" customWidth="1"/>
    <col min="6" max="6" width="26.42578125" customWidth="1"/>
    <col min="7" max="7" width="15.28515625" customWidth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>
        <v>11</v>
      </c>
      <c r="D2" s="1">
        <v>0.93574757371536399</v>
      </c>
      <c r="E2" s="1">
        <v>0.6446440988903871</v>
      </c>
      <c r="F2">
        <v>14</v>
      </c>
      <c r="G2" s="4" t="b">
        <v>1</v>
      </c>
      <c r="H2" s="4" t="b">
        <v>1</v>
      </c>
      <c r="I2">
        <f>(E2*0.5) + ((C2/MAX($C$2:$C$60))*0.25) + ((F2/MAX($F$2:$F$60))*0.25)</f>
        <v>0.66954427166741581</v>
      </c>
      <c r="J2" t="str">
        <f>_xlfn.IFNA(_xlfn.XLOOKUP(Table1[[#This Row],[Zip Code]],'Neighborhood Reviews'!$A$3:$A$14,'Neighborhood Reviews'!$E$3:$E$14),"")</f>
        <v>Yes</v>
      </c>
    </row>
    <row r="3" spans="1:10">
      <c r="A3" t="s">
        <v>12</v>
      </c>
      <c r="B3" t="s">
        <v>11</v>
      </c>
      <c r="C3">
        <v>2</v>
      </c>
      <c r="D3" s="1">
        <v>0.95419108059087421</v>
      </c>
      <c r="E3" s="1">
        <v>0.53796241935136924</v>
      </c>
      <c r="F3">
        <v>11</v>
      </c>
      <c r="G3" s="4" t="b">
        <v>0</v>
      </c>
      <c r="H3" s="4" t="b">
        <v>1</v>
      </c>
      <c r="I3">
        <f>(E3*0.5) + ((C3/MAX($C$2:$C$60))*0.25) + ((F3/MAX($F$2:$F$60))*0.25)</f>
        <v>0.4495367652312402</v>
      </c>
      <c r="J3" t="str">
        <f>_xlfn.IFNA(_xlfn.XLOOKUP(Table1[[#This Row],[Zip Code]],'Neighborhood Reviews'!$A$3:$A$14,'Neighborhood Reviews'!$E$3:$E$14),"")</f>
        <v>Yes</v>
      </c>
    </row>
    <row r="4" spans="1:10">
      <c r="A4" t="s">
        <v>13</v>
      </c>
      <c r="B4" t="s">
        <v>11</v>
      </c>
      <c r="C4">
        <v>1</v>
      </c>
      <c r="D4" s="1">
        <v>0.87118077208398992</v>
      </c>
      <c r="E4" s="1">
        <v>0.46025928701026497</v>
      </c>
      <c r="F4">
        <v>18</v>
      </c>
      <c r="G4" s="4" t="b">
        <v>0</v>
      </c>
      <c r="H4" s="4" t="b">
        <v>1</v>
      </c>
      <c r="I4">
        <f>(E4*0.5) + ((C4/MAX($C$2:$C$60))*0.25) + ((F4/MAX($F$2:$F$60))*0.25)</f>
        <v>0.49401853239402138</v>
      </c>
      <c r="J4" t="str">
        <f>_xlfn.IFNA(_xlfn.XLOOKUP(Table1[[#This Row],[Zip Code]],'Neighborhood Reviews'!$A$3:$A$14,'Neighborhood Reviews'!$E$3:$E$14),"")</f>
        <v>Weak - no mention in 221 reviews</v>
      </c>
    </row>
    <row r="5" spans="1:10">
      <c r="A5" t="s">
        <v>14</v>
      </c>
      <c r="B5" t="s">
        <v>15</v>
      </c>
      <c r="C5">
        <v>9</v>
      </c>
      <c r="D5" s="1">
        <v>0.84252252102028069</v>
      </c>
      <c r="E5" s="1">
        <v>0.43334493728434886</v>
      </c>
      <c r="F5">
        <v>8</v>
      </c>
      <c r="G5" s="4" t="b">
        <v>1</v>
      </c>
      <c r="H5" s="4" t="b">
        <v>1</v>
      </c>
      <c r="I5">
        <f>(E5*0.5) + ((C5/MAX($C$2:$C$60))*0.25) + ((F5/MAX($F$2:$F$60))*0.25)</f>
        <v>0.45278357975328554</v>
      </c>
      <c r="J5" t="str">
        <f>_xlfn.IFNA(_xlfn.XLOOKUP(Table1[[#This Row],[Zip Code]],'Neighborhood Reviews'!$A$3:$A$14,'Neighborhood Reviews'!$E$3:$E$14),"")</f>
        <v/>
      </c>
    </row>
    <row r="6" spans="1:10">
      <c r="A6" t="s">
        <v>16</v>
      </c>
      <c r="B6" t="s">
        <v>11</v>
      </c>
      <c r="C6"/>
      <c r="D6" s="1">
        <v>0.84558498830070594</v>
      </c>
      <c r="E6" s="1">
        <v>0.31194379022706836</v>
      </c>
      <c r="F6">
        <v>3</v>
      </c>
      <c r="G6" s="4" t="b">
        <v>0</v>
      </c>
      <c r="H6" s="4" t="b">
        <v>0</v>
      </c>
      <c r="I6">
        <f>(E6*0.5) + ((C6/MAX($C$2:$C$60))*0.25) + ((F6/MAX($F$2:$F$60))*0.25)</f>
        <v>0.19763856178020084</v>
      </c>
      <c r="J6" t="str">
        <f>_xlfn.IFNA(_xlfn.XLOOKUP(Table1[[#This Row],[Zip Code]],'Neighborhood Reviews'!$A$3:$A$14,'Neighborhood Reviews'!$E$3:$E$14),"")</f>
        <v/>
      </c>
    </row>
    <row r="7" spans="1:10">
      <c r="A7" t="s">
        <v>17</v>
      </c>
      <c r="B7" t="s">
        <v>11</v>
      </c>
      <c r="C7"/>
      <c r="D7" s="1">
        <v>0.83040046501809694</v>
      </c>
      <c r="E7" s="1">
        <v>0.30402077465534194</v>
      </c>
      <c r="F7">
        <v>14</v>
      </c>
      <c r="G7" s="4" t="b">
        <v>0</v>
      </c>
      <c r="H7" s="4" t="b">
        <v>0</v>
      </c>
      <c r="I7">
        <f>(E7*0.5) + ((C7/MAX($C$2:$C$60))*0.25) + ((F7/MAX($F$2:$F$60))*0.25)</f>
        <v>0.34645483177211545</v>
      </c>
      <c r="J7" t="str">
        <f>_xlfn.IFNA(_xlfn.XLOOKUP(Table1[[#This Row],[Zip Code]],'Neighborhood Reviews'!$A$3:$A$14,'Neighborhood Reviews'!$E$3:$E$14),"")</f>
        <v>Partial - general sports fields confirmed</v>
      </c>
    </row>
    <row r="8" spans="1:10">
      <c r="A8" t="s">
        <v>18</v>
      </c>
      <c r="B8" t="s">
        <v>11</v>
      </c>
      <c r="C8"/>
      <c r="D8" s="1">
        <v>0.32064780528553938</v>
      </c>
      <c r="E8" s="1">
        <v>0.30172677818235427</v>
      </c>
      <c r="F8">
        <v>5</v>
      </c>
      <c r="G8" s="4" t="b">
        <v>0</v>
      </c>
      <c r="H8" s="4" t="b">
        <v>0</v>
      </c>
      <c r="I8">
        <f>(E8*0.5) + ((C8/MAX($C$2:$C$60))*0.25) + ((F8/MAX($F$2:$F$60))*0.25)</f>
        <v>0.22030783353562158</v>
      </c>
      <c r="J8" t="str">
        <f>_xlfn.IFNA(_xlfn.XLOOKUP(Table1[[#This Row],[Zip Code]],'Neighborhood Reviews'!$A$3:$A$14,'Neighborhood Reviews'!$E$3:$E$14),"")</f>
        <v/>
      </c>
    </row>
    <row r="9" spans="1:10">
      <c r="A9" t="s">
        <v>19</v>
      </c>
      <c r="B9" t="s">
        <v>11</v>
      </c>
      <c r="C9"/>
      <c r="D9" s="1">
        <v>0.76755765118750274</v>
      </c>
      <c r="E9" s="1">
        <v>0.29877043066403303</v>
      </c>
      <c r="F9">
        <v>8</v>
      </c>
      <c r="G9" s="4" t="b">
        <v>0</v>
      </c>
      <c r="H9" s="4" t="b">
        <v>0</v>
      </c>
      <c r="I9">
        <f>(E9*0.5) + ((C9/MAX($C$2:$C$60))*0.25) + ((F9/MAX($F$2:$F$60))*0.25)</f>
        <v>0.26049632644312759</v>
      </c>
      <c r="J9" t="str">
        <f>_xlfn.IFNA(_xlfn.XLOOKUP(Table1[[#This Row],[Zip Code]],'Neighborhood Reviews'!$A$3:$A$14,'Neighborhood Reviews'!$E$3:$E$14),"")</f>
        <v>Yes at Sorensdale (3 fields). Historical at Palma Ceia (diamond may no longer be active).</v>
      </c>
    </row>
    <row r="10" spans="1:10">
      <c r="A10" t="s">
        <v>20</v>
      </c>
      <c r="B10" t="s">
        <v>11</v>
      </c>
      <c r="C10">
        <v>2</v>
      </c>
      <c r="D10" s="1">
        <v>0.7924830696068923</v>
      </c>
      <c r="E10" s="1">
        <v>0.2981329554680901</v>
      </c>
      <c r="F10">
        <v>11</v>
      </c>
      <c r="G10" s="4" t="b">
        <v>0</v>
      </c>
      <c r="H10" s="4" t="b">
        <v>0</v>
      </c>
      <c r="I10">
        <f>(E10*0.5) + ((C10/MAX($C$2:$C$60))*0.25) + ((F10/MAX($F$2:$F$60))*0.25)</f>
        <v>0.3296220332896006</v>
      </c>
      <c r="J10" t="str">
        <f>_xlfn.IFNA(_xlfn.XLOOKUP(Table1[[#This Row],[Zip Code]],'Neighborhood Reviews'!$A$3:$A$14,'Neighborhood Reviews'!$E$3:$E$14),"")</f>
        <v>Yes - strong. Two diamonds at Centennial, softball at Bret Harte, baseball field with bleachers at Cannery.</v>
      </c>
    </row>
    <row r="11" spans="1:10">
      <c r="A11" t="s">
        <v>21</v>
      </c>
      <c r="B11" t="s">
        <v>11</v>
      </c>
      <c r="C11"/>
      <c r="D11" s="1">
        <v>0.14922479510101613</v>
      </c>
      <c r="E11" s="1">
        <v>0.28134822869894466</v>
      </c>
      <c r="F11">
        <v>12</v>
      </c>
      <c r="G11" s="4" t="b">
        <v>0</v>
      </c>
      <c r="H11" s="4" t="b">
        <v>0</v>
      </c>
      <c r="I11">
        <f>(E11*0.5) + ((C11/MAX($C$2:$C$60))*0.25) + ((F11/MAX($F$2:$F$60))*0.25)</f>
        <v>0.30734078101613899</v>
      </c>
      <c r="J11" t="str">
        <f>_xlfn.IFNA(_xlfn.XLOOKUP(Table1[[#This Row],[Zip Code]],'Neighborhood Reviews'!$A$3:$A$14,'Neighborhood Reviews'!$E$3:$E$14),"")</f>
        <v/>
      </c>
    </row>
    <row r="12" spans="1:10">
      <c r="A12" t="s">
        <v>22</v>
      </c>
      <c r="B12" t="s">
        <v>11</v>
      </c>
      <c r="C12">
        <v>3</v>
      </c>
      <c r="D12" s="1">
        <v>0.86405346341820111</v>
      </c>
      <c r="E12" s="1">
        <v>0.27677092312300461</v>
      </c>
      <c r="F12">
        <v>7</v>
      </c>
      <c r="G12" s="4" t="b">
        <v>0</v>
      </c>
      <c r="H12" s="4" t="b">
        <v>0</v>
      </c>
      <c r="I12">
        <f>(E12*0.5) + ((C12/MAX($C$2:$C$60))*0.25) + ((F12/MAX($F$2:$F$60))*0.25)</f>
        <v>0.27727435045039117</v>
      </c>
      <c r="J12" t="str">
        <f>_xlfn.IFNA(_xlfn.XLOOKUP(Table1[[#This Row],[Zip Code]],'Neighborhood Reviews'!$A$3:$A$14,'Neighborhood Reviews'!$E$3:$E$14),"")</f>
        <v>Yes at Garfield - confirmed diamond. Absent at San Antonio.</v>
      </c>
    </row>
    <row r="13" spans="1:10">
      <c r="A13" t="s">
        <v>23</v>
      </c>
      <c r="B13" t="s">
        <v>11</v>
      </c>
      <c r="C13">
        <v>3</v>
      </c>
      <c r="D13" s="1">
        <v>0.63109995963280929</v>
      </c>
      <c r="E13" s="1">
        <v>0.2699287409967524</v>
      </c>
      <c r="F13">
        <v>8</v>
      </c>
      <c r="G13" s="4" t="b">
        <v>0</v>
      </c>
      <c r="H13" s="4" t="b">
        <v>0</v>
      </c>
      <c r="I13">
        <f>(E13*0.5) + ((C13/MAX($C$2:$C$60))*0.25) + ((F13/MAX($F$2:$F$60))*0.25)</f>
        <v>0.28774214827615396</v>
      </c>
      <c r="J13" t="str">
        <f>_xlfn.IFNA(_xlfn.XLOOKUP(Table1[[#This Row],[Zip Code]],'Neighborhood Reviews'!$A$3:$A$14,'Neighborhood Reviews'!$E$3:$E$14),"")</f>
        <v/>
      </c>
    </row>
    <row r="14" spans="1:10">
      <c r="A14" t="s">
        <v>24</v>
      </c>
      <c r="B14" t="s">
        <v>11</v>
      </c>
      <c r="C14">
        <v>12</v>
      </c>
      <c r="D14" s="1">
        <v>0.38888914187212104</v>
      </c>
      <c r="E14" s="1">
        <v>0.26763911798251</v>
      </c>
      <c r="F14">
        <v>14</v>
      </c>
      <c r="G14" s="4" t="b">
        <v>0</v>
      </c>
      <c r="H14" s="4" t="b">
        <v>0</v>
      </c>
      <c r="I14">
        <f>(E14*0.5) + ((C14/MAX($C$2:$C$60))*0.25) + ((F14/MAX($F$2:$F$60))*0.25)</f>
        <v>0.49493067010236613</v>
      </c>
      <c r="J14" t="str">
        <f>_xlfn.IFNA(_xlfn.XLOOKUP(Table1[[#This Row],[Zip Code]],'Neighborhood Reviews'!$A$3:$A$14,'Neighborhood Reviews'!$E$3:$E$14),"")</f>
        <v/>
      </c>
    </row>
    <row r="15" spans="1:10">
      <c r="A15" t="s">
        <v>25</v>
      </c>
      <c r="B15" t="s">
        <v>11</v>
      </c>
      <c r="C15"/>
      <c r="D15" s="1">
        <v>0.31935445430740222</v>
      </c>
      <c r="E15" s="1">
        <v>0.26314276427438854</v>
      </c>
      <c r="F15">
        <v>3</v>
      </c>
      <c r="G15" s="4" t="b">
        <v>0</v>
      </c>
      <c r="H15" s="4" t="b">
        <v>0</v>
      </c>
      <c r="I15">
        <f>(E15*0.5) + ((C15/MAX($C$2:$C$60))*0.25) + ((F15/MAX($F$2:$F$60))*0.25)</f>
        <v>0.17323804880386093</v>
      </c>
      <c r="J15" t="str">
        <f>_xlfn.IFNA(_xlfn.XLOOKUP(Table1[[#This Row],[Zip Code]],'Neighborhood Reviews'!$A$3:$A$14,'Neighborhood Reviews'!$E$3:$E$14),"")</f>
        <v/>
      </c>
    </row>
    <row r="16" spans="1:10">
      <c r="A16" t="s">
        <v>26</v>
      </c>
      <c r="B16" t="s">
        <v>11</v>
      </c>
      <c r="C16"/>
      <c r="D16" s="1">
        <v>0.25651532082244433</v>
      </c>
      <c r="E16" s="1">
        <v>0.24954455058867933</v>
      </c>
      <c r="F16">
        <v>7</v>
      </c>
      <c r="G16" s="4" t="b">
        <v>0</v>
      </c>
      <c r="H16" s="4" t="b">
        <v>0</v>
      </c>
      <c r="I16">
        <f>(E16*0.5) + ((C16/MAX($C$2:$C$60))*0.25) + ((F16/MAX($F$2:$F$60))*0.25)</f>
        <v>0.22199449751656189</v>
      </c>
      <c r="J16" t="str">
        <f>_xlfn.IFNA(_xlfn.XLOOKUP(Table1[[#This Row],[Zip Code]],'Neighborhood Reviews'!$A$3:$A$14,'Neighborhood Reviews'!$E$3:$E$14),"")</f>
        <v/>
      </c>
    </row>
    <row r="17" spans="1:10">
      <c r="A17" t="s">
        <v>27</v>
      </c>
      <c r="B17" t="s">
        <v>11</v>
      </c>
      <c r="C17">
        <v>5</v>
      </c>
      <c r="D17" s="1">
        <v>0.39945783623328762</v>
      </c>
      <c r="E17" s="1">
        <v>0.24872839389121351</v>
      </c>
      <c r="F17">
        <v>9</v>
      </c>
      <c r="G17" s="4" t="b">
        <v>0</v>
      </c>
      <c r="H17" s="4" t="b">
        <v>0</v>
      </c>
      <c r="I17">
        <f>(E17*0.5) + ((C17/MAX($C$2:$C$60))*0.25) + ((F17/MAX($F$2:$F$60))*0.25)</f>
        <v>0.31880864139005122</v>
      </c>
      <c r="J17" t="str">
        <f>_xlfn.IFNA(_xlfn.XLOOKUP(Table1[[#This Row],[Zip Code]],'Neighborhood Reviews'!$A$3:$A$14,'Neighborhood Reviews'!$E$3:$E$14),"")</f>
        <v/>
      </c>
    </row>
    <row r="18" spans="1:10">
      <c r="A18" t="s">
        <v>28</v>
      </c>
      <c r="B18" t="s">
        <v>11</v>
      </c>
      <c r="C18"/>
      <c r="D18" s="1">
        <v>9.434421717618241E-2</v>
      </c>
      <c r="E18" s="1">
        <v>0.24761992985186224</v>
      </c>
      <c r="F18">
        <v>6</v>
      </c>
      <c r="G18" s="4" t="b">
        <v>0</v>
      </c>
      <c r="H18" s="4" t="b">
        <v>0</v>
      </c>
      <c r="I18">
        <f>(E18*0.5) + ((C18/MAX($C$2:$C$60))*0.25) + ((F18/MAX($F$2:$F$60))*0.25)</f>
        <v>0.20714329825926445</v>
      </c>
      <c r="J18" t="str">
        <f>_xlfn.IFNA(_xlfn.XLOOKUP(Table1[[#This Row],[Zip Code]],'Neighborhood Reviews'!$A$3:$A$14,'Neighborhood Reviews'!$E$3:$E$14),"")</f>
        <v/>
      </c>
    </row>
    <row r="19" spans="1:10">
      <c r="A19" t="s">
        <v>29</v>
      </c>
      <c r="B19" t="s">
        <v>11</v>
      </c>
      <c r="C19"/>
      <c r="D19" s="1">
        <v>0.10985021769696061</v>
      </c>
      <c r="E19" s="1">
        <v>0.22247882579184391</v>
      </c>
      <c r="F19">
        <v>8</v>
      </c>
      <c r="G19" s="4" t="b">
        <v>0</v>
      </c>
      <c r="H19" s="4" t="b">
        <v>0</v>
      </c>
      <c r="I19">
        <f>(E19*0.5) + ((C19/MAX($C$2:$C$60))*0.25) + ((F19/MAX($F$2:$F$60))*0.25)</f>
        <v>0.22235052400703306</v>
      </c>
      <c r="J19" t="str">
        <f>_xlfn.IFNA(_xlfn.XLOOKUP(Table1[[#This Row],[Zip Code]],'Neighborhood Reviews'!$A$3:$A$14,'Neighborhood Reviews'!$E$3:$E$14),"")</f>
        <v/>
      </c>
    </row>
    <row r="20" spans="1:10">
      <c r="A20" t="s">
        <v>30</v>
      </c>
      <c r="B20" t="s">
        <v>11</v>
      </c>
      <c r="C20">
        <v>7</v>
      </c>
      <c r="D20" s="1">
        <v>0.73903631885262011</v>
      </c>
      <c r="E20" s="1">
        <v>0.22196598897182571</v>
      </c>
      <c r="F20">
        <v>8</v>
      </c>
      <c r="G20" s="4" t="b">
        <v>0</v>
      </c>
      <c r="H20" s="4" t="b">
        <v>0</v>
      </c>
      <c r="I20">
        <f>(E20*0.5) + ((C20/MAX($C$2:$C$60))*0.25) + ((F20/MAX($F$2:$F$60))*0.25)</f>
        <v>0.31931632781924618</v>
      </c>
      <c r="J20" t="str">
        <f>_xlfn.IFNA(_xlfn.XLOOKUP(Table1[[#This Row],[Zip Code]],'Neighborhood Reviews'!$A$3:$A$14,'Neighborhood Reviews'!$E$3:$E$14),"")</f>
        <v/>
      </c>
    </row>
    <row r="21" spans="1:10">
      <c r="A21" t="s">
        <v>31</v>
      </c>
      <c r="B21" t="s">
        <v>15</v>
      </c>
      <c r="C21">
        <v>16</v>
      </c>
      <c r="D21" s="1">
        <v>0.73463699480515832</v>
      </c>
      <c r="E21" s="1">
        <v>0.22140513724877636</v>
      </c>
      <c r="F21">
        <v>8</v>
      </c>
      <c r="G21" s="4" t="b">
        <v>0</v>
      </c>
      <c r="H21" s="4" t="b">
        <v>0</v>
      </c>
      <c r="I21">
        <f>(E21*0.5) + ((C21/MAX($C$2:$C$60))*0.25) + ((F21/MAX($F$2:$F$60))*0.25)</f>
        <v>0.44403590195772152</v>
      </c>
      <c r="J21" t="str">
        <f>_xlfn.IFNA(_xlfn.XLOOKUP(Table1[[#This Row],[Zip Code]],'Neighborhood Reviews'!$A$3:$A$14,'Neighborhood Reviews'!$E$3:$E$14),"")</f>
        <v/>
      </c>
    </row>
    <row r="22" spans="1:10">
      <c r="A22" t="s">
        <v>32</v>
      </c>
      <c r="B22" t="s">
        <v>11</v>
      </c>
      <c r="C22">
        <v>2</v>
      </c>
      <c r="D22" s="1">
        <v>0.74209049763626511</v>
      </c>
      <c r="E22" s="1">
        <v>0.21822442472757103</v>
      </c>
      <c r="F22">
        <v>10</v>
      </c>
      <c r="G22" s="4" t="b">
        <v>0</v>
      </c>
      <c r="H22" s="4" t="b">
        <v>0</v>
      </c>
      <c r="I22">
        <f>(E22*0.5) + ((C22/MAX($C$2:$C$60))*0.25) + ((F22/MAX($F$2:$F$60))*0.25)</f>
        <v>0.27577887903045217</v>
      </c>
      <c r="J22" t="str">
        <f>_xlfn.IFNA(_xlfn.XLOOKUP(Table1[[#This Row],[Zip Code]],'Neighborhood Reviews'!$A$3:$A$14,'Neighborhood Reviews'!$E$3:$E$14),"")</f>
        <v/>
      </c>
    </row>
    <row r="23" spans="1:10">
      <c r="A23" t="s">
        <v>33</v>
      </c>
      <c r="B23" t="s">
        <v>11</v>
      </c>
      <c r="C23"/>
      <c r="D23" s="1">
        <v>0.68544797336969543</v>
      </c>
      <c r="E23" s="1">
        <v>0.20173980733992553</v>
      </c>
      <c r="F23">
        <v>9</v>
      </c>
      <c r="G23" s="4" t="b">
        <v>0</v>
      </c>
      <c r="H23" s="4" t="b">
        <v>0</v>
      </c>
      <c r="I23">
        <f>(E23*0.5) + ((C23/MAX($C$2:$C$60))*0.25) + ((F23/MAX($F$2:$F$60))*0.25)</f>
        <v>0.22586990366996276</v>
      </c>
      <c r="J23" t="str">
        <f>_xlfn.IFNA(_xlfn.XLOOKUP(Table1[[#This Row],[Zip Code]],'Neighborhood Reviews'!$A$3:$A$14,'Neighborhood Reviews'!$E$3:$E$14),"")</f>
        <v/>
      </c>
    </row>
    <row r="24" spans="1:10">
      <c r="A24" t="s">
        <v>34</v>
      </c>
      <c r="B24" t="s">
        <v>15</v>
      </c>
      <c r="C24">
        <v>18</v>
      </c>
      <c r="D24" s="1">
        <v>0.6213698429713117</v>
      </c>
      <c r="E24" s="1">
        <v>0.19910241327804407</v>
      </c>
      <c r="F24">
        <v>10</v>
      </c>
      <c r="G24" s="4" t="b">
        <v>0</v>
      </c>
      <c r="H24" s="4" t="b">
        <v>0</v>
      </c>
      <c r="I24">
        <f>(E24*0.5) + ((C24/MAX($C$2:$C$60))*0.25) + ((F24/MAX($F$2:$F$60))*0.25)</f>
        <v>0.48844009552791096</v>
      </c>
      <c r="J24" t="str">
        <f>_xlfn.IFNA(_xlfn.XLOOKUP(Table1[[#This Row],[Zip Code]],'Neighborhood Reviews'!$A$3:$A$14,'Neighborhood Reviews'!$E$3:$E$14),"")</f>
        <v/>
      </c>
    </row>
    <row r="25" spans="1:10">
      <c r="A25" t="s">
        <v>35</v>
      </c>
      <c r="B25" t="s">
        <v>11</v>
      </c>
      <c r="C25">
        <v>5</v>
      </c>
      <c r="D25" s="1">
        <v>0.66635862418226799</v>
      </c>
      <c r="E25" s="1">
        <v>0.192592179365038</v>
      </c>
      <c r="F25">
        <v>4</v>
      </c>
      <c r="G25" s="4" t="b">
        <v>0</v>
      </c>
      <c r="H25" s="4" t="b">
        <v>0</v>
      </c>
      <c r="I25">
        <f>(E25*0.5) + ((C25/MAX($C$2:$C$60))*0.25) + ((F25/MAX($F$2:$F$60))*0.25)</f>
        <v>0.22129608968251899</v>
      </c>
      <c r="J25" t="str">
        <f>_xlfn.IFNA(_xlfn.XLOOKUP(Table1[[#This Row],[Zip Code]],'Neighborhood Reviews'!$A$3:$A$14,'Neighborhood Reviews'!$E$3:$E$14),"")</f>
        <v/>
      </c>
    </row>
    <row r="26" spans="1:10">
      <c r="A26" t="s">
        <v>36</v>
      </c>
      <c r="B26" t="s">
        <v>11</v>
      </c>
      <c r="C26">
        <v>4</v>
      </c>
      <c r="D26" s="1">
        <v>0.20309896372546121</v>
      </c>
      <c r="E26" s="1">
        <v>0.18578190904661041</v>
      </c>
      <c r="F26">
        <v>2</v>
      </c>
      <c r="G26" s="4" t="b">
        <v>0</v>
      </c>
      <c r="H26" s="4" t="b">
        <v>0</v>
      </c>
      <c r="I26">
        <f>(E26*0.5) + ((C26/MAX($C$2:$C$60))*0.25) + ((F26/MAX($F$2:$F$60))*0.25)</f>
        <v>0.17622428785663852</v>
      </c>
      <c r="J26" t="str">
        <f>_xlfn.IFNA(_xlfn.XLOOKUP(Table1[[#This Row],[Zip Code]],'Neighborhood Reviews'!$A$3:$A$14,'Neighborhood Reviews'!$E$3:$E$14),"")</f>
        <v/>
      </c>
    </row>
    <row r="27" spans="1:10">
      <c r="A27" t="s">
        <v>37</v>
      </c>
      <c r="B27" t="s">
        <v>11</v>
      </c>
      <c r="C27">
        <v>4</v>
      </c>
      <c r="D27" s="1">
        <v>0.48843833083220423</v>
      </c>
      <c r="E27" s="1">
        <v>0.18542750266405802</v>
      </c>
      <c r="F27">
        <v>3</v>
      </c>
      <c r="G27" s="4" t="b">
        <v>0</v>
      </c>
      <c r="H27" s="4" t="b">
        <v>0</v>
      </c>
      <c r="I27">
        <f>(E27*0.5) + ((C27/MAX($C$2:$C$60))*0.25) + ((F27/MAX($F$2:$F$60))*0.25)</f>
        <v>0.18993597355425121</v>
      </c>
      <c r="J27" t="str">
        <f>_xlfn.IFNA(_xlfn.XLOOKUP(Table1[[#This Row],[Zip Code]],'Neighborhood Reviews'!$A$3:$A$14,'Neighborhood Reviews'!$E$3:$E$14),"")</f>
        <v>Yes - confirmed at all three. Town Estates has four baseball fields.</v>
      </c>
    </row>
    <row r="28" spans="1:10">
      <c r="A28" t="s">
        <v>38</v>
      </c>
      <c r="B28" t="s">
        <v>11</v>
      </c>
      <c r="C28"/>
      <c r="D28" s="1">
        <v>0.16129072840545708</v>
      </c>
      <c r="E28" s="1">
        <v>0.18527886879024605</v>
      </c>
      <c r="F28">
        <v>9</v>
      </c>
      <c r="G28" s="4" t="b">
        <v>0</v>
      </c>
      <c r="H28" s="4" t="b">
        <v>0</v>
      </c>
      <c r="I28">
        <f>(E28*0.5) + ((C28/MAX($C$2:$C$60))*0.25) + ((F28/MAX($F$2:$F$60))*0.25)</f>
        <v>0.21763943439512301</v>
      </c>
      <c r="J28" t="str">
        <f>_xlfn.IFNA(_xlfn.XLOOKUP(Table1[[#This Row],[Zip Code]],'Neighborhood Reviews'!$A$3:$A$14,'Neighborhood Reviews'!$E$3:$E$14),"")</f>
        <v/>
      </c>
    </row>
    <row r="29" spans="1:10">
      <c r="A29" t="s">
        <v>39</v>
      </c>
      <c r="B29" t="s">
        <v>15</v>
      </c>
      <c r="C29">
        <v>4</v>
      </c>
      <c r="D29" s="1">
        <v>0.40188063855159656</v>
      </c>
      <c r="E29" s="1">
        <v>0.18511049533331361</v>
      </c>
      <c r="F29">
        <v>5</v>
      </c>
      <c r="G29" s="4" t="b">
        <v>0</v>
      </c>
      <c r="H29" s="4" t="b">
        <v>0</v>
      </c>
      <c r="I29">
        <f>(E29*0.5) + ((C29/MAX($C$2:$C$60))*0.25) + ((F29/MAX($F$2:$F$60))*0.25)</f>
        <v>0.21755524766665682</v>
      </c>
      <c r="J29" t="str">
        <f>_xlfn.IFNA(_xlfn.XLOOKUP(Table1[[#This Row],[Zip Code]],'Neighborhood Reviews'!$A$3:$A$14,'Neighborhood Reviews'!$E$3:$E$14),"")</f>
        <v/>
      </c>
    </row>
    <row r="30" spans="1:10">
      <c r="A30" t="s">
        <v>40</v>
      </c>
      <c r="B30" t="s">
        <v>11</v>
      </c>
      <c r="C30">
        <v>5</v>
      </c>
      <c r="D30" s="1">
        <v>0.33842239185750633</v>
      </c>
      <c r="E30" s="1">
        <v>0.17985319219740153</v>
      </c>
      <c r="F30">
        <v>1</v>
      </c>
      <c r="G30" s="4" t="b">
        <v>0</v>
      </c>
      <c r="H30" s="4" t="b">
        <v>0</v>
      </c>
      <c r="I30">
        <f>(E30*0.5) + ((C30/MAX($C$2:$C$60))*0.25) + ((F30/MAX($F$2:$F$60))*0.25)</f>
        <v>0.17325992943203411</v>
      </c>
      <c r="J30" t="str">
        <f>_xlfn.IFNA(_xlfn.XLOOKUP(Table1[[#This Row],[Zip Code]],'Neighborhood Reviews'!$A$3:$A$14,'Neighborhood Reviews'!$E$3:$E$14),"")</f>
        <v/>
      </c>
    </row>
    <row r="31" spans="1:10">
      <c r="A31" t="s">
        <v>41</v>
      </c>
      <c r="B31" t="s">
        <v>11</v>
      </c>
      <c r="C31">
        <v>3</v>
      </c>
      <c r="D31" s="1">
        <v>0.31335595821645823</v>
      </c>
      <c r="E31" s="1">
        <v>0.17836816444364631</v>
      </c>
      <c r="F31">
        <v>4</v>
      </c>
      <c r="G31" s="4" t="b">
        <v>0</v>
      </c>
      <c r="H31" s="4" t="b">
        <v>0</v>
      </c>
      <c r="I31">
        <f>(E31*0.5) + ((C31/MAX($C$2:$C$60))*0.25) + ((F31/MAX($F$2:$F$60))*0.25)</f>
        <v>0.18640630444404538</v>
      </c>
      <c r="J31" t="str">
        <f>_xlfn.IFNA(_xlfn.XLOOKUP(Table1[[#This Row],[Zip Code]],'Neighborhood Reviews'!$A$3:$A$14,'Neighborhood Reviews'!$E$3:$E$14),"")</f>
        <v/>
      </c>
    </row>
    <row r="32" spans="1:10">
      <c r="A32" t="s">
        <v>42</v>
      </c>
      <c r="B32" t="s">
        <v>15</v>
      </c>
      <c r="C32"/>
      <c r="D32" s="1">
        <v>0.84299735486565508</v>
      </c>
      <c r="E32" s="1">
        <v>0.17264316483698394</v>
      </c>
      <c r="F32">
        <v>2</v>
      </c>
      <c r="G32" s="4" t="b">
        <v>0</v>
      </c>
      <c r="H32" s="4" t="b">
        <v>0</v>
      </c>
      <c r="I32">
        <f>(E32*0.5) + ((C32/MAX($C$2:$C$60))*0.25) + ((F32/MAX($F$2:$F$60))*0.25)</f>
        <v>0.11409936019626975</v>
      </c>
      <c r="J32" t="str">
        <f>_xlfn.IFNA(_xlfn.XLOOKUP(Table1[[#This Row],[Zip Code]],'Neighborhood Reviews'!$A$3:$A$14,'Neighborhood Reviews'!$E$3:$E$14),"")</f>
        <v/>
      </c>
    </row>
    <row r="33" spans="1:10">
      <c r="A33" t="s">
        <v>43</v>
      </c>
      <c r="B33" t="s">
        <v>11</v>
      </c>
      <c r="C33">
        <v>3</v>
      </c>
      <c r="D33" s="1">
        <v>0.60214082149309334</v>
      </c>
      <c r="E33" s="1">
        <v>0.16955557298935267</v>
      </c>
      <c r="F33">
        <v>3</v>
      </c>
      <c r="G33" s="4" t="b">
        <v>0</v>
      </c>
      <c r="H33" s="4" t="b">
        <v>0</v>
      </c>
      <c r="I33">
        <f>(E33*0.5) + ((C33/MAX($C$2:$C$60))*0.25) + ((F33/MAX($F$2:$F$60))*0.25)</f>
        <v>0.16811111982800966</v>
      </c>
      <c r="J33" t="str">
        <f>_xlfn.IFNA(_xlfn.XLOOKUP(Table1[[#This Row],[Zip Code]],'Neighborhood Reviews'!$A$3:$A$14,'Neighborhood Reviews'!$E$3:$E$14),"")</f>
        <v/>
      </c>
    </row>
    <row r="34" spans="1:10">
      <c r="A34" t="s">
        <v>44</v>
      </c>
      <c r="B34" t="s">
        <v>15</v>
      </c>
      <c r="C34">
        <v>4</v>
      </c>
      <c r="D34" s="1">
        <v>0.59671351613734658</v>
      </c>
      <c r="E34" s="1">
        <v>0.16696483067106604</v>
      </c>
      <c r="F34">
        <v>6</v>
      </c>
      <c r="G34" s="4" t="b">
        <v>0</v>
      </c>
      <c r="H34" s="4" t="b">
        <v>0</v>
      </c>
      <c r="I34">
        <f>(E34*0.5) + ((C34/MAX($C$2:$C$60))*0.25) + ((F34/MAX($F$2:$F$60))*0.25)</f>
        <v>0.22237130422442192</v>
      </c>
      <c r="J34" t="str">
        <f>_xlfn.IFNA(_xlfn.XLOOKUP(Table1[[#This Row],[Zip Code]],'Neighborhood Reviews'!$A$3:$A$14,'Neighborhood Reviews'!$E$3:$E$14),"")</f>
        <v/>
      </c>
    </row>
    <row r="35" spans="1:10">
      <c r="A35" t="s">
        <v>45</v>
      </c>
      <c r="B35" t="s">
        <v>15</v>
      </c>
      <c r="C35">
        <v>3</v>
      </c>
      <c r="D35" s="1">
        <v>0.72971338723868617</v>
      </c>
      <c r="E35" s="1">
        <v>0.16587810960490376</v>
      </c>
      <c r="F35">
        <v>9</v>
      </c>
      <c r="G35" s="4" t="b">
        <v>0</v>
      </c>
      <c r="H35" s="4" t="b">
        <v>0</v>
      </c>
      <c r="I35">
        <f>(E35*0.5) + ((C35/MAX($C$2:$C$60))*0.25) + ((F35/MAX($F$2:$F$60))*0.25)</f>
        <v>0.24960572146911855</v>
      </c>
      <c r="J35" t="str">
        <f>_xlfn.IFNA(_xlfn.XLOOKUP(Table1[[#This Row],[Zip Code]],'Neighborhood Reviews'!$A$3:$A$14,'Neighborhood Reviews'!$E$3:$E$14),"")</f>
        <v/>
      </c>
    </row>
    <row r="36" spans="1:10">
      <c r="A36" t="s">
        <v>46</v>
      </c>
      <c r="B36" t="s">
        <v>11</v>
      </c>
      <c r="C36">
        <v>4</v>
      </c>
      <c r="D36" s="1">
        <v>0.32053222221943833</v>
      </c>
      <c r="E36" s="1">
        <v>0.16553411813412328</v>
      </c>
      <c r="F36">
        <v>2</v>
      </c>
      <c r="G36" s="4" t="b">
        <v>0</v>
      </c>
      <c r="H36" s="4" t="b">
        <v>0</v>
      </c>
      <c r="I36">
        <f>(E36*0.5) + ((C36/MAX($C$2:$C$60))*0.25) + ((F36/MAX($F$2:$F$60))*0.25)</f>
        <v>0.16610039240039498</v>
      </c>
      <c r="J36" t="str">
        <f>_xlfn.IFNA(_xlfn.XLOOKUP(Table1[[#This Row],[Zip Code]],'Neighborhood Reviews'!$A$3:$A$14,'Neighborhood Reviews'!$E$3:$E$14),"")</f>
        <v/>
      </c>
    </row>
    <row r="37" spans="1:10">
      <c r="A37" t="s">
        <v>47</v>
      </c>
      <c r="B37" t="s">
        <v>11</v>
      </c>
      <c r="C37">
        <v>5</v>
      </c>
      <c r="D37" s="1">
        <v>0.71134914324267473</v>
      </c>
      <c r="E37" s="1">
        <v>0.1653136655279013</v>
      </c>
      <c r="F37">
        <v>4</v>
      </c>
      <c r="G37" s="4" t="b">
        <v>0</v>
      </c>
      <c r="H37" s="4" t="b">
        <v>0</v>
      </c>
      <c r="I37">
        <f>(E37*0.5) + ((C37/MAX($C$2:$C$60))*0.25) + ((F37/MAX($F$2:$F$60))*0.25)</f>
        <v>0.20765683276395067</v>
      </c>
      <c r="J37" t="str">
        <f>_xlfn.IFNA(_xlfn.XLOOKUP(Table1[[#This Row],[Zip Code]],'Neighborhood Reviews'!$A$3:$A$14,'Neighborhood Reviews'!$E$3:$E$14),"")</f>
        <v/>
      </c>
    </row>
    <row r="38" spans="1:10">
      <c r="A38" t="s">
        <v>48</v>
      </c>
      <c r="B38" t="s">
        <v>11</v>
      </c>
      <c r="C38">
        <v>2</v>
      </c>
      <c r="D38" s="1">
        <v>0.4608099944732208</v>
      </c>
      <c r="E38" s="1">
        <v>0.16330327544132545</v>
      </c>
      <c r="F38">
        <v>2</v>
      </c>
      <c r="G38" s="4" t="b">
        <v>0</v>
      </c>
      <c r="H38" s="4" t="b">
        <v>0</v>
      </c>
      <c r="I38">
        <f>(E38*0.5) + ((C38/MAX($C$2:$C$60))*0.25) + ((F38/MAX($F$2:$F$60))*0.25)</f>
        <v>0.13720719327621828</v>
      </c>
      <c r="J38" t="str">
        <f>_xlfn.IFNA(_xlfn.XLOOKUP(Table1[[#This Row],[Zip Code]],'Neighborhood Reviews'!$A$3:$A$14,'Neighborhood Reviews'!$E$3:$E$14),"")</f>
        <v/>
      </c>
    </row>
    <row r="39" spans="1:10">
      <c r="A39" t="s">
        <v>49</v>
      </c>
      <c r="B39" t="s">
        <v>15</v>
      </c>
      <c r="C39">
        <v>2</v>
      </c>
      <c r="D39" s="1">
        <v>0.74113475177304966</v>
      </c>
      <c r="E39" s="1">
        <v>0.16208201555958246</v>
      </c>
      <c r="F39">
        <v>1</v>
      </c>
      <c r="G39" s="4" t="b">
        <v>0</v>
      </c>
      <c r="H39" s="4" t="b">
        <v>0</v>
      </c>
      <c r="I39">
        <f>(E39*0.5) + ((C39/MAX($C$2:$C$60))*0.25) + ((F39/MAX($F$2:$F$60))*0.25)</f>
        <v>0.12270767444645789</v>
      </c>
      <c r="J39" t="str">
        <f>_xlfn.IFNA(_xlfn.XLOOKUP(Table1[[#This Row],[Zip Code]],'Neighborhood Reviews'!$A$3:$A$14,'Neighborhood Reviews'!$E$3:$E$14),"")</f>
        <v/>
      </c>
    </row>
    <row r="40" spans="1:10">
      <c r="A40" t="s">
        <v>50</v>
      </c>
      <c r="B40" t="s">
        <v>15</v>
      </c>
      <c r="C40">
        <v>5</v>
      </c>
      <c r="D40" s="1">
        <v>0.46366932144293022</v>
      </c>
      <c r="E40" s="1">
        <v>0.16165447419143472</v>
      </c>
      <c r="F40">
        <v>6</v>
      </c>
      <c r="G40" s="4" t="b">
        <v>0</v>
      </c>
      <c r="H40" s="4" t="b">
        <v>0</v>
      </c>
      <c r="I40">
        <f>(E40*0.5) + ((C40/MAX($C$2:$C$60))*0.25) + ((F40/MAX($F$2:$F$60))*0.25)</f>
        <v>0.23360501487349511</v>
      </c>
      <c r="J40" t="str">
        <f>_xlfn.IFNA(_xlfn.XLOOKUP(Table1[[#This Row],[Zip Code]],'Neighborhood Reviews'!$A$3:$A$14,'Neighborhood Reviews'!$E$3:$E$14),"")</f>
        <v/>
      </c>
    </row>
    <row r="41" spans="1:10">
      <c r="A41" t="s">
        <v>51</v>
      </c>
      <c r="B41" t="s">
        <v>15</v>
      </c>
      <c r="C41">
        <v>4</v>
      </c>
      <c r="D41" s="1">
        <v>0.54257262445728316</v>
      </c>
      <c r="E41" s="1">
        <v>0.15458382246924929</v>
      </c>
      <c r="F41">
        <v>3</v>
      </c>
      <c r="G41" s="4" t="b">
        <v>0</v>
      </c>
      <c r="H41" s="4" t="b">
        <v>0</v>
      </c>
      <c r="I41">
        <f>(E41*0.5) + ((C41/MAX($C$2:$C$60))*0.25) + ((F41/MAX($F$2:$F$60))*0.25)</f>
        <v>0.17451413345684685</v>
      </c>
      <c r="J41" t="str">
        <f>_xlfn.IFNA(_xlfn.XLOOKUP(Table1[[#This Row],[Zip Code]],'Neighborhood Reviews'!$A$3:$A$14,'Neighborhood Reviews'!$E$3:$E$14),"")</f>
        <v/>
      </c>
    </row>
    <row r="42" spans="1:10">
      <c r="A42" t="s">
        <v>52</v>
      </c>
      <c r="B42" t="s">
        <v>11</v>
      </c>
      <c r="C42">
        <v>3</v>
      </c>
      <c r="D42" s="1">
        <v>0.30321565943286166</v>
      </c>
      <c r="E42" s="1">
        <v>0.15456397278065184</v>
      </c>
      <c r="F42">
        <v>11</v>
      </c>
      <c r="G42" s="4" t="b">
        <v>0</v>
      </c>
      <c r="H42" s="4" t="b">
        <v>0</v>
      </c>
      <c r="I42">
        <f>(E42*0.5) + ((C42/MAX($C$2:$C$60))*0.25) + ((F42/MAX($F$2:$F$60))*0.25)</f>
        <v>0.27172643083477038</v>
      </c>
      <c r="J42" t="str">
        <f>_xlfn.IFNA(_xlfn.XLOOKUP(Table1[[#This Row],[Zip Code]],'Neighborhood Reviews'!$A$3:$A$14,'Neighborhood Reviews'!$E$3:$E$14),"")</f>
        <v/>
      </c>
    </row>
    <row r="43" spans="1:10">
      <c r="A43" t="s">
        <v>53</v>
      </c>
      <c r="B43" t="s">
        <v>11</v>
      </c>
      <c r="C43">
        <v>1</v>
      </c>
      <c r="D43" s="1">
        <v>0.42548089365863767</v>
      </c>
      <c r="E43" s="1">
        <v>0.15344584380797835</v>
      </c>
      <c r="F43">
        <v>4</v>
      </c>
      <c r="G43" s="4" t="b">
        <v>0</v>
      </c>
      <c r="H43" s="4" t="b">
        <v>0</v>
      </c>
      <c r="I43">
        <f>(E43*0.5) + ((C43/MAX($C$2:$C$60))*0.25) + ((F43/MAX($F$2:$F$60))*0.25)</f>
        <v>0.14616736634843361</v>
      </c>
      <c r="J43" t="str">
        <f>_xlfn.IFNA(_xlfn.XLOOKUP(Table1[[#This Row],[Zip Code]],'Neighborhood Reviews'!$A$3:$A$14,'Neighborhood Reviews'!$E$3:$E$14),"")</f>
        <v/>
      </c>
    </row>
    <row r="44" spans="1:10">
      <c r="A44" t="s">
        <v>54</v>
      </c>
      <c r="B44" t="s">
        <v>11</v>
      </c>
      <c r="C44"/>
      <c r="D44" s="1">
        <v>0.65490093375007796</v>
      </c>
      <c r="E44" s="1">
        <v>0.15258380160805848</v>
      </c>
      <c r="F44">
        <v>4</v>
      </c>
      <c r="G44" s="4" t="b">
        <v>0</v>
      </c>
      <c r="H44" s="4" t="b">
        <v>0</v>
      </c>
      <c r="I44">
        <f>(E44*0.5) + ((C44/MAX($C$2:$C$60))*0.25) + ((F44/MAX($F$2:$F$60))*0.25)</f>
        <v>0.13184745635958478</v>
      </c>
      <c r="J44" t="str">
        <f>_xlfn.IFNA(_xlfn.XLOOKUP(Table1[[#This Row],[Zip Code]],'Neighborhood Reviews'!$A$3:$A$14,'Neighborhood Reviews'!$E$3:$E$14),"")</f>
        <v/>
      </c>
    </row>
    <row r="45" spans="1:10">
      <c r="A45" t="s">
        <v>55</v>
      </c>
      <c r="B45" t="s">
        <v>15</v>
      </c>
      <c r="C45">
        <v>1</v>
      </c>
      <c r="D45" s="1">
        <v>0.41581775587295061</v>
      </c>
      <c r="E45" s="1">
        <v>0.14836767440754906</v>
      </c>
      <c r="F45">
        <v>4</v>
      </c>
      <c r="G45" s="4" t="b">
        <v>0</v>
      </c>
      <c r="H45" s="4" t="b">
        <v>0</v>
      </c>
      <c r="I45">
        <f>(E45*0.5) + ((C45/MAX($C$2:$C$60))*0.25) + ((F45/MAX($F$2:$F$60))*0.25)</f>
        <v>0.14362828164821898</v>
      </c>
      <c r="J45" t="str">
        <f>_xlfn.IFNA(_xlfn.XLOOKUP(Table1[[#This Row],[Zip Code]],'Neighborhood Reviews'!$A$3:$A$14,'Neighborhood Reviews'!$E$3:$E$14),"")</f>
        <v/>
      </c>
    </row>
    <row r="46" spans="1:10">
      <c r="A46" t="s">
        <v>56</v>
      </c>
      <c r="B46" t="s">
        <v>15</v>
      </c>
      <c r="C46">
        <v>3</v>
      </c>
      <c r="D46" s="1">
        <v>0.42157815471955778</v>
      </c>
      <c r="E46" s="1">
        <v>0.14684938863831873</v>
      </c>
      <c r="F46">
        <v>7</v>
      </c>
      <c r="G46" s="4" t="b">
        <v>0</v>
      </c>
      <c r="H46" s="4" t="b">
        <v>0</v>
      </c>
      <c r="I46">
        <f>(E46*0.5) + ((C46/MAX($C$2:$C$60))*0.25) + ((F46/MAX($F$2:$F$60))*0.25)</f>
        <v>0.21231358320804827</v>
      </c>
      <c r="J46" t="str">
        <f>_xlfn.IFNA(_xlfn.XLOOKUP(Table1[[#This Row],[Zip Code]],'Neighborhood Reviews'!$A$3:$A$14,'Neighborhood Reviews'!$E$3:$E$14),"")</f>
        <v/>
      </c>
    </row>
    <row r="47" spans="1:10">
      <c r="A47" t="s">
        <v>57</v>
      </c>
      <c r="B47" t="s">
        <v>11</v>
      </c>
      <c r="C47">
        <v>4</v>
      </c>
      <c r="D47" s="1">
        <v>0.81033752550404015</v>
      </c>
      <c r="E47" s="1">
        <v>0.14444582692887825</v>
      </c>
      <c r="F47">
        <v>5</v>
      </c>
      <c r="G47" s="4" t="b">
        <v>0</v>
      </c>
      <c r="H47" s="4" t="b">
        <v>0</v>
      </c>
      <c r="I47">
        <f>(E47*0.5) + ((C47/MAX($C$2:$C$60))*0.25) + ((F47/MAX($F$2:$F$60))*0.25)</f>
        <v>0.19722291346443913</v>
      </c>
      <c r="J47" t="str">
        <f>_xlfn.IFNA(_xlfn.XLOOKUP(Table1[[#This Row],[Zip Code]],'Neighborhood Reviews'!$A$3:$A$14,'Neighborhood Reviews'!$E$3:$E$14),"")</f>
        <v/>
      </c>
    </row>
    <row r="48" spans="1:10">
      <c r="A48" t="s">
        <v>58</v>
      </c>
      <c r="B48" t="s">
        <v>11</v>
      </c>
      <c r="C48"/>
      <c r="D48" s="1">
        <v>0.27893175074183973</v>
      </c>
      <c r="E48" s="1">
        <v>0.13830545999947833</v>
      </c>
      <c r="F48">
        <v>1</v>
      </c>
      <c r="G48" s="4" t="b">
        <v>0</v>
      </c>
      <c r="H48" s="4" t="b">
        <v>0</v>
      </c>
      <c r="I48">
        <f>(E48*0.5) + ((C48/MAX($C$2:$C$60))*0.25) + ((F48/MAX($F$2:$F$60))*0.25)</f>
        <v>8.3041618888628044E-2</v>
      </c>
      <c r="J48" t="str">
        <f>_xlfn.IFNA(_xlfn.XLOOKUP(Table1[[#This Row],[Zip Code]],'Neighborhood Reviews'!$A$3:$A$14,'Neighborhood Reviews'!$E$3:$E$14),"")</f>
        <v/>
      </c>
    </row>
    <row r="49" spans="1:10">
      <c r="A49" t="s">
        <v>59</v>
      </c>
      <c r="B49" t="s">
        <v>15</v>
      </c>
      <c r="C49">
        <v>3</v>
      </c>
      <c r="D49" s="1">
        <v>0.38658589955226474</v>
      </c>
      <c r="E49" s="1">
        <v>0.13597289177743696</v>
      </c>
      <c r="F49">
        <v>4</v>
      </c>
      <c r="G49" s="4" t="b">
        <v>0</v>
      </c>
      <c r="H49" s="4" t="b">
        <v>0</v>
      </c>
      <c r="I49">
        <f>(E49*0.5) + ((C49/MAX($C$2:$C$60))*0.25) + ((F49/MAX($F$2:$F$60))*0.25)</f>
        <v>0.1652086681109407</v>
      </c>
      <c r="J49" t="str">
        <f>_xlfn.IFNA(_xlfn.XLOOKUP(Table1[[#This Row],[Zip Code]],'Neighborhood Reviews'!$A$3:$A$14,'Neighborhood Reviews'!$E$3:$E$14),"")</f>
        <v/>
      </c>
    </row>
    <row r="50" spans="1:10">
      <c r="A50" t="s">
        <v>60</v>
      </c>
      <c r="B50" t="s">
        <v>15</v>
      </c>
      <c r="C50">
        <v>2</v>
      </c>
      <c r="D50" s="1">
        <v>0.77880125022982161</v>
      </c>
      <c r="E50" s="1">
        <v>0.13589289069574045</v>
      </c>
      <c r="F50">
        <v>2</v>
      </c>
      <c r="G50" s="4" t="b">
        <v>0</v>
      </c>
      <c r="H50" s="4" t="b">
        <v>0</v>
      </c>
      <c r="I50">
        <f>(E50*0.5) + ((C50/MAX($C$2:$C$60))*0.25) + ((F50/MAX($F$2:$F$60))*0.25)</f>
        <v>0.12350200090342578</v>
      </c>
      <c r="J50" t="str">
        <f>_xlfn.IFNA(_xlfn.XLOOKUP(Table1[[#This Row],[Zip Code]],'Neighborhood Reviews'!$A$3:$A$14,'Neighborhood Reviews'!$E$3:$E$14),"")</f>
        <v/>
      </c>
    </row>
    <row r="51" spans="1:10">
      <c r="A51" t="s">
        <v>61</v>
      </c>
      <c r="B51" t="s">
        <v>11</v>
      </c>
      <c r="C51">
        <v>5</v>
      </c>
      <c r="D51" s="1">
        <v>0.28839028529236788</v>
      </c>
      <c r="E51" s="1">
        <v>0.13442303163688377</v>
      </c>
      <c r="F51">
        <v>4</v>
      </c>
      <c r="G51" s="4" t="b">
        <v>0</v>
      </c>
      <c r="H51" s="4" t="b">
        <v>0</v>
      </c>
      <c r="I51">
        <f>(E51*0.5) + ((C51/MAX($C$2:$C$60))*0.25) + ((F51/MAX($F$2:$F$60))*0.25)</f>
        <v>0.1922115158184419</v>
      </c>
      <c r="J51" t="str">
        <f>_xlfn.IFNA(_xlfn.XLOOKUP(Table1[[#This Row],[Zip Code]],'Neighborhood Reviews'!$A$3:$A$14,'Neighborhood Reviews'!$E$3:$E$14),"")</f>
        <v/>
      </c>
    </row>
    <row r="52" spans="1:10">
      <c r="A52" t="s">
        <v>62</v>
      </c>
      <c r="B52" t="s">
        <v>15</v>
      </c>
      <c r="C52">
        <v>5</v>
      </c>
      <c r="D52" s="1">
        <v>0.4514428602859587</v>
      </c>
      <c r="E52" s="1">
        <v>0.13303796605811119</v>
      </c>
      <c r="F52">
        <v>5</v>
      </c>
      <c r="G52" s="4" t="b">
        <v>0</v>
      </c>
      <c r="H52" s="4" t="b">
        <v>0</v>
      </c>
      <c r="I52">
        <f>(E52*0.5) + ((C52/MAX($C$2:$C$60))*0.25) + ((F52/MAX($F$2:$F$60))*0.25)</f>
        <v>0.20540787191794449</v>
      </c>
      <c r="J52" t="str">
        <f>_xlfn.IFNA(_xlfn.XLOOKUP(Table1[[#This Row],[Zip Code]],'Neighborhood Reviews'!$A$3:$A$14,'Neighborhood Reviews'!$E$3:$E$14),"")</f>
        <v/>
      </c>
    </row>
    <row r="53" spans="1:10">
      <c r="A53" t="s">
        <v>63</v>
      </c>
      <c r="B53" t="s">
        <v>11</v>
      </c>
      <c r="C53"/>
      <c r="D53" s="1">
        <v>0.64804425744117189</v>
      </c>
      <c r="E53" s="1">
        <v>0.13271670911773889</v>
      </c>
      <c r="F53">
        <v>3</v>
      </c>
      <c r="G53" s="4" t="b">
        <v>0</v>
      </c>
      <c r="H53" s="4" t="b">
        <v>0</v>
      </c>
      <c r="I53">
        <f>(E53*0.5) + ((C53/MAX($C$2:$C$60))*0.25) + ((F53/MAX($F$2:$F$60))*0.25)</f>
        <v>0.10802502122553612</v>
      </c>
      <c r="J53" t="str">
        <f>_xlfn.IFNA(_xlfn.XLOOKUP(Table1[[#This Row],[Zip Code]],'Neighborhood Reviews'!$A$3:$A$14,'Neighborhood Reviews'!$E$3:$E$14),"")</f>
        <v/>
      </c>
    </row>
    <row r="54" spans="1:10">
      <c r="A54" t="s">
        <v>64</v>
      </c>
      <c r="B54" t="s">
        <v>15</v>
      </c>
      <c r="C54"/>
      <c r="D54" s="1">
        <v>0.82608695652173914</v>
      </c>
      <c r="E54" s="1">
        <v>0.13228916906215613</v>
      </c>
      <c r="F54">
        <v>1</v>
      </c>
      <c r="G54" s="4" t="b">
        <v>0</v>
      </c>
      <c r="H54" s="4" t="b">
        <v>0</v>
      </c>
      <c r="I54">
        <f>(E54*0.5) + ((C54/MAX($C$2:$C$60))*0.25) + ((F54/MAX($F$2:$F$60))*0.25)</f>
        <v>8.0033473419966944E-2</v>
      </c>
      <c r="J54" t="str">
        <f>_xlfn.IFNA(_xlfn.XLOOKUP(Table1[[#This Row],[Zip Code]],'Neighborhood Reviews'!$A$3:$A$14,'Neighborhood Reviews'!$E$3:$E$14),"")</f>
        <v/>
      </c>
    </row>
    <row r="55" spans="1:10">
      <c r="A55" t="s">
        <v>65</v>
      </c>
      <c r="B55" t="s">
        <v>11</v>
      </c>
      <c r="C55"/>
      <c r="D55" s="1">
        <v>0.2862068965517241</v>
      </c>
      <c r="E55" s="1">
        <v>0.12061241761935113</v>
      </c>
      <c r="F55">
        <v>1</v>
      </c>
      <c r="G55" s="4" t="b">
        <v>0</v>
      </c>
      <c r="H55" s="4" t="b">
        <v>0</v>
      </c>
      <c r="I55">
        <f>(E55*0.5) + ((C55/MAX($C$2:$C$60))*0.25) + ((F55/MAX($F$2:$F$60))*0.25)</f>
        <v>7.4195097698564444E-2</v>
      </c>
      <c r="J55" t="str">
        <f>_xlfn.IFNA(_xlfn.XLOOKUP(Table1[[#This Row],[Zip Code]],'Neighborhood Reviews'!$A$3:$A$14,'Neighborhood Reviews'!$E$3:$E$14),"")</f>
        <v/>
      </c>
    </row>
    <row r="56" spans="1:10">
      <c r="A56" t="s">
        <v>66</v>
      </c>
      <c r="B56" t="s">
        <v>15</v>
      </c>
      <c r="C56">
        <v>5</v>
      </c>
      <c r="D56" s="1">
        <v>0.57994859756677564</v>
      </c>
      <c r="E56" s="1">
        <v>0.11282336939155611</v>
      </c>
      <c r="F56">
        <v>8</v>
      </c>
      <c r="G56" s="4" t="b">
        <v>0</v>
      </c>
      <c r="H56" s="4" t="b">
        <v>0</v>
      </c>
      <c r="I56">
        <f>(E56*0.5) + ((C56/MAX($C$2:$C$60))*0.25) + ((F56/MAX($F$2:$F$60))*0.25)</f>
        <v>0.23696724025133362</v>
      </c>
      <c r="J56" t="str">
        <f>_xlfn.IFNA(_xlfn.XLOOKUP(Table1[[#This Row],[Zip Code]],'Neighborhood Reviews'!$A$3:$A$14,'Neighborhood Reviews'!$E$3:$E$14),"")</f>
        <v/>
      </c>
    </row>
    <row r="57" spans="1:10">
      <c r="A57" t="s">
        <v>67</v>
      </c>
      <c r="B57" t="s">
        <v>15</v>
      </c>
      <c r="C57">
        <v>1</v>
      </c>
      <c r="D57" s="1">
        <v>0.34589585377977577</v>
      </c>
      <c r="E57" s="1">
        <v>9.4933523631805336E-2</v>
      </c>
      <c r="F57">
        <v>4</v>
      </c>
      <c r="G57" s="4" t="b">
        <v>0</v>
      </c>
      <c r="H57" s="4" t="b">
        <v>0</v>
      </c>
      <c r="I57">
        <f>(E57*0.5) + ((C57/MAX($C$2:$C$60))*0.25) + ((F57/MAX($F$2:$F$60))*0.25)</f>
        <v>0.11691120626034711</v>
      </c>
      <c r="J57" t="str">
        <f>_xlfn.IFNA(_xlfn.XLOOKUP(Table1[[#This Row],[Zip Code]],'Neighborhood Reviews'!$A$3:$A$14,'Neighborhood Reviews'!$E$3:$E$14),"")</f>
        <v/>
      </c>
    </row>
    <row r="58" spans="1:10">
      <c r="A58" t="s">
        <v>68</v>
      </c>
      <c r="B58" t="s">
        <v>15</v>
      </c>
      <c r="C58">
        <v>4</v>
      </c>
      <c r="D58" s="1">
        <v>0.3908839931344209</v>
      </c>
      <c r="E58" s="1">
        <v>9.4514787449623286E-2</v>
      </c>
      <c r="F58">
        <v>4</v>
      </c>
      <c r="G58" s="4" t="b">
        <v>0</v>
      </c>
      <c r="H58" s="4" t="b">
        <v>0</v>
      </c>
      <c r="I58">
        <f>(E58*0.5) + ((C58/MAX($C$2:$C$60))*0.25) + ((F58/MAX($F$2:$F$60))*0.25)</f>
        <v>0.15836850483592274</v>
      </c>
      <c r="J58" t="str">
        <f>_xlfn.IFNA(_xlfn.XLOOKUP(Table1[[#This Row],[Zip Code]],'Neighborhood Reviews'!$A$3:$A$14,'Neighborhood Reviews'!$E$3:$E$14),"")</f>
        <v/>
      </c>
    </row>
    <row r="59" spans="1:10">
      <c r="A59" t="s">
        <v>69</v>
      </c>
      <c r="B59" t="s">
        <v>11</v>
      </c>
      <c r="C59">
        <v>1</v>
      </c>
      <c r="D59" s="1">
        <v>0.29107235019970273</v>
      </c>
      <c r="E59" s="1">
        <v>8.8750032752829569E-2</v>
      </c>
      <c r="F59">
        <v>2</v>
      </c>
      <c r="G59" s="4" t="b">
        <v>0</v>
      </c>
      <c r="H59" s="4" t="b">
        <v>0</v>
      </c>
      <c r="I59">
        <f>(E59*0.5) + ((C59/MAX($C$2:$C$60))*0.25) + ((F59/MAX($F$2:$F$60))*0.25)</f>
        <v>8.6041683043081449E-2</v>
      </c>
      <c r="J59" t="str">
        <f>_xlfn.IFNA(_xlfn.XLOOKUP(Table1[[#This Row],[Zip Code]],'Neighborhood Reviews'!$A$3:$A$14,'Neighborhood Reviews'!$E$3:$E$14),"")</f>
        <v/>
      </c>
    </row>
    <row r="60" spans="1:10">
      <c r="A60" t="s">
        <v>70</v>
      </c>
      <c r="B60" t="s">
        <v>11</v>
      </c>
      <c r="C60">
        <v>1</v>
      </c>
      <c r="D60" s="1">
        <v>0.29238329238329236</v>
      </c>
      <c r="E60" s="1">
        <v>8.7410340048514376E-2</v>
      </c>
      <c r="F60">
        <v>1</v>
      </c>
      <c r="G60" s="4" t="b">
        <v>0</v>
      </c>
      <c r="H60" s="4" t="b">
        <v>0</v>
      </c>
      <c r="I60">
        <f>(E60*0.5) + ((C60/MAX($C$2:$C$60))*0.25) + ((F60/MAX($F$2:$F$60))*0.25)</f>
        <v>7.1482947802034957E-2</v>
      </c>
      <c r="J60" t="str">
        <f>_xlfn.IFNA(_xlfn.XLOOKUP(Table1[[#This Row],[Zip Code]],'Neighborhood Reviews'!$A$3:$A$14,'Neighborhood Reviews'!$E$3:$E$14),"")</f>
        <v/>
      </c>
    </row>
    <row r="61" spans="1:10">
      <c r="A61" t="s">
        <v>71</v>
      </c>
      <c r="B61" t="s">
        <v>15</v>
      </c>
      <c r="C61"/>
      <c r="D61" s="1">
        <v>0.37075921183064042</v>
      </c>
      <c r="E61" s="1">
        <v>8.6965473992021175E-2</v>
      </c>
      <c r="F61">
        <v>4</v>
      </c>
      <c r="G61" s="4" t="b">
        <v>0</v>
      </c>
      <c r="H61" s="4" t="b">
        <v>0</v>
      </c>
      <c r="I61">
        <f>(E61*0.5) + ((C61/MAX($C$2:$C$60))*0.25) + ((F61/MAX($F$2:$F$60))*0.25)</f>
        <v>9.903829255156614E-2</v>
      </c>
      <c r="J61" t="str">
        <f>_xlfn.IFNA(_xlfn.XLOOKUP(Table1[[#This Row],[Zip Code]],'Neighborhood Reviews'!$A$3:$A$14,'Neighborhood Reviews'!$E$3:$E$14),"")</f>
        <v/>
      </c>
    </row>
    <row r="62" spans="1:10">
      <c r="A62" t="s">
        <v>72</v>
      </c>
      <c r="B62" t="s">
        <v>15</v>
      </c>
      <c r="C62">
        <v>8</v>
      </c>
      <c r="D62" s="1">
        <v>0.54717377445140114</v>
      </c>
      <c r="E62" s="1">
        <v>8.6787301567868944E-2</v>
      </c>
      <c r="F62">
        <v>8</v>
      </c>
      <c r="G62" s="4" t="b">
        <v>0</v>
      </c>
      <c r="H62" s="4" t="b">
        <v>0</v>
      </c>
      <c r="I62">
        <f>(E62*0.5) + ((C62/MAX($C$2:$C$60))*0.25) + ((F62/MAX($F$2:$F$60))*0.25)</f>
        <v>0.26561587300615669</v>
      </c>
      <c r="J62" t="str">
        <f>_xlfn.IFNA(_xlfn.XLOOKUP(Table1[[#This Row],[Zip Code]],'Neighborhood Reviews'!$A$3:$A$14,'Neighborhood Reviews'!$E$3:$E$14),"")</f>
        <v/>
      </c>
    </row>
    <row r="63" spans="1:10">
      <c r="A63" t="s">
        <v>73</v>
      </c>
      <c r="B63" t="s">
        <v>15</v>
      </c>
      <c r="C63"/>
      <c r="D63" s="1">
        <v>0.67096784696784695</v>
      </c>
      <c r="E63" s="1">
        <v>7.5803433438272338E-2</v>
      </c>
      <c r="F63">
        <v>3</v>
      </c>
      <c r="G63" s="4" t="b">
        <v>0</v>
      </c>
      <c r="H63" s="4" t="b">
        <v>0</v>
      </c>
      <c r="I63">
        <f>(E63*0.5) + ((C63/MAX($C$2:$C$60))*0.25) + ((F63/MAX($F$2:$F$60))*0.25)</f>
        <v>7.9568383385802827E-2</v>
      </c>
      <c r="J63" t="str">
        <f>_xlfn.IFNA(_xlfn.XLOOKUP(Table1[[#This Row],[Zip Code]],'Neighborhood Reviews'!$A$3:$A$14,'Neighborhood Reviews'!$E$3:$E$14),"")</f>
        <v/>
      </c>
    </row>
    <row r="64" spans="1:10">
      <c r="C64"/>
      <c r="E64" s="1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/>
      <c r="D90"/>
    </row>
    <row r="91" spans="3:4">
      <c r="C91"/>
      <c r="D91"/>
    </row>
    <row r="92" spans="3:4">
      <c r="C92"/>
      <c r="D92"/>
    </row>
    <row r="93" spans="3:4">
      <c r="C93"/>
      <c r="D93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/>
      <c r="D106"/>
    </row>
    <row r="107" spans="3:4">
      <c r="C107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/>
      <c r="D127"/>
    </row>
  </sheetData>
  <conditionalFormatting sqref="I2:I63">
    <cfRule type="cellIs" dxfId="9" priority="3" operator="lessThan">
      <formula>0.15</formula>
    </cfRule>
  </conditionalFormatting>
  <conditionalFormatting sqref="I2:I63">
    <cfRule type="cellIs" dxfId="8" priority="2" operator="between">
      <formula>0.15</formula>
      <formula>0.4</formula>
    </cfRule>
  </conditionalFormatting>
  <conditionalFormatting sqref="I2:I63">
    <cfRule type="cellIs" dxfId="7" priority="1" operator="greaterThan">
      <formula>0.4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2F2B-32A1-44A1-BE3F-57095ECC506B}">
  <dimension ref="A1:L14"/>
  <sheetViews>
    <sheetView tabSelected="1" workbookViewId="0">
      <selection activeCell="K19" sqref="K19"/>
    </sheetView>
  </sheetViews>
  <sheetFormatPr defaultRowHeight="15"/>
  <cols>
    <col min="1" max="1" width="21.28515625" bestFit="1" customWidth="1"/>
    <col min="2" max="2" width="40.140625" bestFit="1" customWidth="1"/>
    <col min="3" max="3" width="40.42578125" bestFit="1" customWidth="1"/>
    <col min="4" max="4" width="72.5703125" bestFit="1" customWidth="1"/>
    <col min="5" max="5" width="95.5703125" bestFit="1" customWidth="1"/>
    <col min="6" max="6" width="77.42578125" bestFit="1" customWidth="1"/>
    <col min="7" max="7" width="67.7109375" bestFit="1" customWidth="1"/>
    <col min="8" max="8" width="83.140625" bestFit="1" customWidth="1"/>
    <col min="9" max="9" width="51.140625" bestFit="1" customWidth="1"/>
    <col min="10" max="10" width="43.28515625" bestFit="1" customWidth="1"/>
    <col min="11" max="11" width="255.7109375" bestFit="1" customWidth="1"/>
    <col min="12" max="12" width="178.42578125" bestFit="1" customWidth="1"/>
  </cols>
  <sheetData>
    <row r="1" spans="1:12">
      <c r="A1" s="5" t="s">
        <v>74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84</v>
      </c>
      <c r="L1" s="7" t="s">
        <v>85</v>
      </c>
    </row>
    <row r="2" spans="1:12">
      <c r="A2" s="8" t="s">
        <v>86</v>
      </c>
      <c r="B2" s="9" t="s">
        <v>87</v>
      </c>
      <c r="C2" s="9" t="s">
        <v>88</v>
      </c>
      <c r="D2" s="9" t="s">
        <v>89</v>
      </c>
      <c r="E2" s="9" t="s">
        <v>90</v>
      </c>
      <c r="F2" s="9" t="s">
        <v>91</v>
      </c>
      <c r="G2" s="9" t="s">
        <v>92</v>
      </c>
      <c r="H2" s="9" t="s">
        <v>93</v>
      </c>
      <c r="I2" s="9" t="s">
        <v>94</v>
      </c>
      <c r="J2" s="9" t="s">
        <v>95</v>
      </c>
      <c r="K2" s="9" t="s">
        <v>96</v>
      </c>
      <c r="L2" s="10" t="s">
        <v>97</v>
      </c>
    </row>
    <row r="3" spans="1:12">
      <c r="A3" s="11" t="s">
        <v>12</v>
      </c>
      <c r="B3" s="12" t="s">
        <v>98</v>
      </c>
      <c r="C3" s="12" t="s">
        <v>99</v>
      </c>
      <c r="D3" s="12" t="s">
        <v>100</v>
      </c>
      <c r="E3" s="12" t="s">
        <v>101</v>
      </c>
      <c r="F3" s="12" t="s">
        <v>102</v>
      </c>
      <c r="G3" s="12" t="s">
        <v>103</v>
      </c>
      <c r="H3" s="12" t="s">
        <v>104</v>
      </c>
      <c r="I3" s="12" t="s">
        <v>105</v>
      </c>
      <c r="J3" s="12" t="s">
        <v>106</v>
      </c>
      <c r="K3" s="12" t="s">
        <v>107</v>
      </c>
      <c r="L3" s="13" t="s">
        <v>108</v>
      </c>
    </row>
    <row r="4" spans="1:12">
      <c r="A4" s="8" t="s">
        <v>10</v>
      </c>
      <c r="B4" s="9" t="s">
        <v>109</v>
      </c>
      <c r="C4" s="9" t="s">
        <v>99</v>
      </c>
      <c r="D4" s="9" t="s">
        <v>110</v>
      </c>
      <c r="E4" s="9" t="s">
        <v>101</v>
      </c>
      <c r="F4" s="9" t="s">
        <v>111</v>
      </c>
      <c r="G4" s="9" t="s">
        <v>112</v>
      </c>
      <c r="H4" s="9" t="s">
        <v>113</v>
      </c>
      <c r="I4" s="9" t="s">
        <v>114</v>
      </c>
      <c r="J4" s="9" t="s">
        <v>106</v>
      </c>
      <c r="K4" s="9" t="s">
        <v>115</v>
      </c>
      <c r="L4" s="10" t="s">
        <v>116</v>
      </c>
    </row>
    <row r="5" spans="1:12">
      <c r="A5" s="11" t="s">
        <v>17</v>
      </c>
      <c r="B5" s="12" t="s">
        <v>117</v>
      </c>
      <c r="C5" s="12" t="s">
        <v>99</v>
      </c>
      <c r="D5" s="12" t="s">
        <v>118</v>
      </c>
      <c r="E5" s="12" t="s">
        <v>119</v>
      </c>
      <c r="F5" s="12" t="s">
        <v>120</v>
      </c>
      <c r="G5" s="12" t="s">
        <v>121</v>
      </c>
      <c r="H5" s="12" t="s">
        <v>122</v>
      </c>
      <c r="I5" s="12" t="s">
        <v>105</v>
      </c>
      <c r="J5" s="12" t="s">
        <v>106</v>
      </c>
      <c r="K5" s="12" t="s">
        <v>123</v>
      </c>
      <c r="L5" s="13" t="s">
        <v>124</v>
      </c>
    </row>
    <row r="6" spans="1:12">
      <c r="A6" s="8" t="s">
        <v>22</v>
      </c>
      <c r="B6" s="9" t="s">
        <v>125</v>
      </c>
      <c r="C6" s="9" t="s">
        <v>99</v>
      </c>
      <c r="D6" s="9" t="s">
        <v>126</v>
      </c>
      <c r="E6" s="9" t="s">
        <v>127</v>
      </c>
      <c r="F6" s="9" t="s">
        <v>128</v>
      </c>
      <c r="G6" s="9" t="s">
        <v>129</v>
      </c>
      <c r="H6" s="9" t="s">
        <v>104</v>
      </c>
      <c r="I6" s="9" t="s">
        <v>130</v>
      </c>
      <c r="J6" s="9" t="s">
        <v>106</v>
      </c>
      <c r="K6" s="9" t="s">
        <v>131</v>
      </c>
      <c r="L6" s="10" t="s">
        <v>132</v>
      </c>
    </row>
    <row r="7" spans="1:12">
      <c r="A7" s="11" t="s">
        <v>13</v>
      </c>
      <c r="B7" s="12" t="s">
        <v>133</v>
      </c>
      <c r="C7" s="12" t="s">
        <v>99</v>
      </c>
      <c r="D7" s="12" t="s">
        <v>134</v>
      </c>
      <c r="E7" s="12" t="s">
        <v>135</v>
      </c>
      <c r="F7" s="12" t="s">
        <v>136</v>
      </c>
      <c r="G7" s="12" t="s">
        <v>137</v>
      </c>
      <c r="H7" s="12" t="s">
        <v>122</v>
      </c>
      <c r="I7" s="12" t="s">
        <v>138</v>
      </c>
      <c r="J7" s="12" t="s">
        <v>106</v>
      </c>
      <c r="K7" s="12" t="s">
        <v>139</v>
      </c>
      <c r="L7" s="13" t="s">
        <v>140</v>
      </c>
    </row>
    <row r="8" spans="1:12">
      <c r="A8" s="8" t="s">
        <v>141</v>
      </c>
      <c r="B8" s="9" t="s">
        <v>142</v>
      </c>
      <c r="C8" s="9" t="s">
        <v>99</v>
      </c>
      <c r="D8" s="9" t="s">
        <v>143</v>
      </c>
      <c r="E8" s="9" t="s">
        <v>144</v>
      </c>
      <c r="F8" s="9" t="s">
        <v>145</v>
      </c>
      <c r="G8" s="9" t="s">
        <v>146</v>
      </c>
      <c r="H8" s="9" t="s">
        <v>147</v>
      </c>
      <c r="I8" s="9" t="s">
        <v>148</v>
      </c>
      <c r="J8" s="9" t="s">
        <v>149</v>
      </c>
      <c r="K8" s="9" t="s">
        <v>150</v>
      </c>
      <c r="L8" s="10" t="s">
        <v>151</v>
      </c>
    </row>
    <row r="9" spans="1:12">
      <c r="A9" s="11" t="s">
        <v>20</v>
      </c>
      <c r="B9" s="12" t="s">
        <v>152</v>
      </c>
      <c r="C9" s="12" t="s">
        <v>153</v>
      </c>
      <c r="D9" s="12" t="s">
        <v>154</v>
      </c>
      <c r="E9" s="12" t="s">
        <v>155</v>
      </c>
      <c r="F9" s="12" t="s">
        <v>156</v>
      </c>
      <c r="G9" s="12" t="s">
        <v>157</v>
      </c>
      <c r="H9" s="12" t="s">
        <v>158</v>
      </c>
      <c r="I9" s="12" t="s">
        <v>105</v>
      </c>
      <c r="J9" s="12" t="s">
        <v>106</v>
      </c>
      <c r="K9" s="12" t="s">
        <v>159</v>
      </c>
      <c r="L9" s="13" t="s">
        <v>160</v>
      </c>
    </row>
    <row r="10" spans="1:12">
      <c r="A10" s="8" t="s">
        <v>19</v>
      </c>
      <c r="B10" s="9" t="s">
        <v>161</v>
      </c>
      <c r="C10" s="9" t="s">
        <v>162</v>
      </c>
      <c r="D10" s="9" t="s">
        <v>163</v>
      </c>
      <c r="E10" s="9" t="s">
        <v>164</v>
      </c>
      <c r="F10" s="9" t="s">
        <v>165</v>
      </c>
      <c r="G10" s="9" t="s">
        <v>166</v>
      </c>
      <c r="H10" s="9" t="s">
        <v>167</v>
      </c>
      <c r="I10" s="9" t="s">
        <v>168</v>
      </c>
      <c r="J10" s="9" t="s">
        <v>169</v>
      </c>
      <c r="K10" s="9" t="s">
        <v>170</v>
      </c>
      <c r="L10" s="10" t="s">
        <v>171</v>
      </c>
    </row>
    <row r="11" spans="1:12">
      <c r="A11" s="11" t="s">
        <v>37</v>
      </c>
      <c r="B11" s="12" t="s">
        <v>172</v>
      </c>
      <c r="C11" s="12" t="s">
        <v>173</v>
      </c>
      <c r="D11" s="12" t="s">
        <v>174</v>
      </c>
      <c r="E11" s="12" t="s">
        <v>175</v>
      </c>
      <c r="F11" s="12" t="s">
        <v>176</v>
      </c>
      <c r="G11" s="12" t="s">
        <v>177</v>
      </c>
      <c r="H11" s="12" t="s">
        <v>178</v>
      </c>
      <c r="I11" s="12" t="s">
        <v>138</v>
      </c>
      <c r="J11" s="12" t="s">
        <v>169</v>
      </c>
      <c r="K11" s="12" t="s">
        <v>179</v>
      </c>
      <c r="L11" s="13" t="s">
        <v>180</v>
      </c>
    </row>
    <row r="12" spans="1:12">
      <c r="A12" s="8" t="s">
        <v>181</v>
      </c>
      <c r="B12" s="9" t="s">
        <v>182</v>
      </c>
      <c r="C12" s="9" t="s">
        <v>183</v>
      </c>
      <c r="D12" s="9" t="s">
        <v>184</v>
      </c>
      <c r="E12" s="9" t="s">
        <v>185</v>
      </c>
      <c r="F12" s="9" t="s">
        <v>186</v>
      </c>
      <c r="G12" s="9" t="s">
        <v>187</v>
      </c>
      <c r="H12" s="9" t="s">
        <v>188</v>
      </c>
      <c r="I12" s="9" t="s">
        <v>189</v>
      </c>
      <c r="J12" s="9" t="s">
        <v>190</v>
      </c>
      <c r="K12" s="9" t="s">
        <v>191</v>
      </c>
      <c r="L12" s="10" t="s">
        <v>192</v>
      </c>
    </row>
    <row r="13" spans="1:12">
      <c r="A13" s="11" t="s">
        <v>193</v>
      </c>
      <c r="B13" s="12" t="s">
        <v>194</v>
      </c>
      <c r="C13" s="12" t="s">
        <v>194</v>
      </c>
      <c r="D13" s="12" t="s">
        <v>195</v>
      </c>
      <c r="E13" s="12" t="s">
        <v>196</v>
      </c>
      <c r="F13" s="12" t="s">
        <v>197</v>
      </c>
      <c r="G13" s="12" t="s">
        <v>198</v>
      </c>
      <c r="H13" s="12" t="s">
        <v>122</v>
      </c>
      <c r="I13" s="12" t="s">
        <v>199</v>
      </c>
      <c r="J13" s="12" t="s">
        <v>200</v>
      </c>
      <c r="K13" s="12" t="s">
        <v>201</v>
      </c>
      <c r="L13" s="13" t="s">
        <v>202</v>
      </c>
    </row>
    <row r="14" spans="1:12">
      <c r="A14" s="14" t="s">
        <v>203</v>
      </c>
      <c r="B14" s="15" t="s">
        <v>204</v>
      </c>
      <c r="C14" s="15" t="s">
        <v>205</v>
      </c>
      <c r="D14" s="15" t="s">
        <v>206</v>
      </c>
      <c r="E14" s="15" t="s">
        <v>207</v>
      </c>
      <c r="F14" s="15" t="s">
        <v>197</v>
      </c>
      <c r="G14" s="15" t="s">
        <v>103</v>
      </c>
      <c r="H14" s="15" t="s">
        <v>208</v>
      </c>
      <c r="I14" s="15" t="s">
        <v>199</v>
      </c>
      <c r="J14" s="15" t="s">
        <v>200</v>
      </c>
      <c r="K14" s="15" t="s">
        <v>209</v>
      </c>
      <c r="L14" s="16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2E9BE-AB69-4A2A-BE57-44BC03E518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2026-06-13T23:54:41Z</dcterms:created>
  <dcterms:modified xsi:type="dcterms:W3CDTF">2026-06-14T00:39:19Z</dcterms:modified>
  <cp:category/>
  <cp:contentStatus/>
</cp:coreProperties>
</file>